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3CF6239B-4307-45AD-8F47-6CB0F2CA6DC1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template" sheetId="5" r:id="rId1"/>
    <sheet name="info" sheetId="4" r:id="rId2"/>
    <sheet name="template-odd" sheetId="6" r:id="rId3"/>
    <sheet name="template-even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7" l="1"/>
  <c r="A1" i="6"/>
  <c r="H27" i="7"/>
  <c r="G27" i="7"/>
  <c r="H26" i="7"/>
  <c r="G26" i="7"/>
  <c r="H25" i="7"/>
  <c r="G25" i="7"/>
  <c r="H24" i="7"/>
  <c r="G24" i="7"/>
  <c r="H23" i="7"/>
  <c r="G23" i="7"/>
  <c r="A23" i="7"/>
  <c r="H22" i="7"/>
  <c r="G22" i="7"/>
  <c r="H21" i="7"/>
  <c r="G21" i="7"/>
  <c r="H20" i="7"/>
  <c r="G20" i="7"/>
  <c r="H19" i="7"/>
  <c r="G19" i="7"/>
  <c r="H18" i="7"/>
  <c r="G18" i="7"/>
  <c r="A18" i="7"/>
  <c r="H17" i="7"/>
  <c r="G17" i="7"/>
  <c r="H16" i="7"/>
  <c r="G16" i="7"/>
  <c r="H15" i="7"/>
  <c r="G15" i="7"/>
  <c r="H14" i="7"/>
  <c r="G14" i="7"/>
  <c r="H13" i="7"/>
  <c r="G13" i="7"/>
  <c r="A13" i="7"/>
  <c r="H12" i="7"/>
  <c r="G12" i="7"/>
  <c r="H11" i="7"/>
  <c r="G11" i="7"/>
  <c r="H10" i="7"/>
  <c r="G10" i="7"/>
  <c r="H9" i="7"/>
  <c r="G9" i="7"/>
  <c r="H8" i="7"/>
  <c r="G8" i="7"/>
  <c r="A8" i="7"/>
  <c r="H7" i="7"/>
  <c r="G7" i="7"/>
  <c r="H6" i="7"/>
  <c r="G6" i="7"/>
  <c r="H5" i="7"/>
  <c r="G5" i="7"/>
  <c r="H4" i="7"/>
  <c r="G4" i="7"/>
  <c r="H3" i="7"/>
  <c r="G3" i="7"/>
  <c r="A3" i="7"/>
  <c r="H27" i="6"/>
  <c r="G27" i="6"/>
  <c r="H26" i="6"/>
  <c r="G26" i="6"/>
  <c r="H25" i="6"/>
  <c r="G25" i="6"/>
  <c r="H24" i="6"/>
  <c r="G24" i="6"/>
  <c r="H23" i="6"/>
  <c r="G23" i="6"/>
  <c r="A23" i="6"/>
  <c r="H22" i="6"/>
  <c r="G22" i="6"/>
  <c r="H21" i="6"/>
  <c r="G21" i="6"/>
  <c r="H20" i="6"/>
  <c r="G20" i="6"/>
  <c r="H19" i="6"/>
  <c r="G19" i="6"/>
  <c r="H18" i="6"/>
  <c r="G18" i="6"/>
  <c r="A18" i="6"/>
  <c r="H17" i="6"/>
  <c r="G17" i="6"/>
  <c r="H16" i="6"/>
  <c r="G16" i="6"/>
  <c r="H15" i="6"/>
  <c r="G15" i="6"/>
  <c r="H14" i="6"/>
  <c r="G14" i="6"/>
  <c r="H13" i="6"/>
  <c r="G13" i="6"/>
  <c r="A13" i="6"/>
  <c r="H12" i="6"/>
  <c r="G12" i="6"/>
  <c r="H11" i="6"/>
  <c r="G11" i="6"/>
  <c r="H10" i="6"/>
  <c r="G10" i="6"/>
  <c r="H9" i="6"/>
  <c r="G9" i="6"/>
  <c r="H8" i="6"/>
  <c r="G8" i="6"/>
  <c r="A8" i="6"/>
  <c r="H7" i="6"/>
  <c r="G7" i="6"/>
  <c r="H6" i="6"/>
  <c r="G6" i="6"/>
  <c r="H5" i="6"/>
  <c r="G5" i="6"/>
  <c r="H4" i="6"/>
  <c r="G4" i="6"/>
  <c r="H3" i="6"/>
  <c r="G3" i="6"/>
  <c r="A3" i="6"/>
  <c r="H27" i="5"/>
  <c r="G27" i="5"/>
  <c r="H22" i="5"/>
  <c r="G22" i="5"/>
  <c r="H17" i="5"/>
  <c r="G17" i="5"/>
  <c r="H12" i="5"/>
  <c r="G12" i="5"/>
  <c r="H7" i="5"/>
  <c r="G7" i="5"/>
  <c r="A23" i="5"/>
  <c r="H23" i="5"/>
  <c r="H24" i="5"/>
  <c r="H25" i="5"/>
  <c r="H26" i="5"/>
  <c r="G24" i="5"/>
  <c r="G25" i="5"/>
  <c r="G26" i="5"/>
  <c r="G23" i="5"/>
  <c r="H18" i="5"/>
  <c r="H19" i="5"/>
  <c r="H20" i="5"/>
  <c r="H21" i="5"/>
  <c r="G19" i="5"/>
  <c r="G20" i="5"/>
  <c r="G21" i="5"/>
  <c r="G18" i="5"/>
  <c r="H13" i="5"/>
  <c r="H14" i="5"/>
  <c r="H15" i="5"/>
  <c r="H16" i="5"/>
  <c r="G14" i="5"/>
  <c r="G15" i="5"/>
  <c r="G16" i="5"/>
  <c r="G13" i="5"/>
  <c r="H8" i="5"/>
  <c r="H9" i="5"/>
  <c r="H10" i="5"/>
  <c r="H11" i="5"/>
  <c r="G9" i="5"/>
  <c r="G10" i="5"/>
  <c r="G11" i="5"/>
  <c r="G8" i="5"/>
  <c r="H3" i="5"/>
  <c r="H4" i="5"/>
  <c r="H5" i="5"/>
  <c r="H6" i="5"/>
  <c r="G4" i="5"/>
  <c r="G5" i="5"/>
  <c r="G6" i="5"/>
  <c r="G3" i="5"/>
  <c r="A18" i="5"/>
  <c r="A13" i="5"/>
  <c r="A3" i="5"/>
  <c r="A8" i="5"/>
</calcChain>
</file>

<file path=xl/sharedStrings.xml><?xml version="1.0" encoding="utf-8"?>
<sst xmlns="http://schemas.openxmlformats.org/spreadsheetml/2006/main" count="74" uniqueCount="60">
  <si>
    <t>Пара</t>
  </si>
  <si>
    <t>Предмет</t>
  </si>
  <si>
    <t>Тип</t>
  </si>
  <si>
    <t>Аудитория</t>
  </si>
  <si>
    <t>Преподаватель</t>
  </si>
  <si>
    <t>Начало</t>
  </si>
  <si>
    <t>Конец</t>
  </si>
  <si>
    <t>Понедельник</t>
  </si>
  <si>
    <t>Математика</t>
  </si>
  <si>
    <t>Вторник</t>
  </si>
  <si>
    <t>Среда</t>
  </si>
  <si>
    <t>Иностранный яз.</t>
  </si>
  <si>
    <t>Четверг</t>
  </si>
  <si>
    <t>Пятница</t>
  </si>
  <si>
    <t>7-119</t>
  </si>
  <si>
    <t>предмет</t>
  </si>
  <si>
    <t>тип</t>
  </si>
  <si>
    <t>аудитория</t>
  </si>
  <si>
    <t>преподователь</t>
  </si>
  <si>
    <t>день_недели</t>
  </si>
  <si>
    <t>время начала</t>
  </si>
  <si>
    <t>время конца</t>
  </si>
  <si>
    <t>Лаб.</t>
  </si>
  <si>
    <t>неделя</t>
  </si>
  <si>
    <t>Каф. ин.яз.</t>
  </si>
  <si>
    <t>Каф. САиИТ</t>
  </si>
  <si>
    <t>Каф. физвоспит.</t>
  </si>
  <si>
    <t>Практ.</t>
  </si>
  <si>
    <t>Лекц.</t>
  </si>
  <si>
    <t>7-322</t>
  </si>
  <si>
    <t>Винник Т.В.</t>
  </si>
  <si>
    <t>Хотунцова С.В.</t>
  </si>
  <si>
    <t>7-413</t>
  </si>
  <si>
    <t>БХА</t>
  </si>
  <si>
    <t>7-212</t>
  </si>
  <si>
    <t>БФА</t>
  </si>
  <si>
    <t>Каф. инж. проект.</t>
  </si>
  <si>
    <t>7-320</t>
  </si>
  <si>
    <t>7-317</t>
  </si>
  <si>
    <t>Ауд.физики №2</t>
  </si>
  <si>
    <t>Каф. физики</t>
  </si>
  <si>
    <t>Чётная неделя (?)</t>
  </si>
  <si>
    <t>Нечётная неделя (?)</t>
  </si>
  <si>
    <t>Введение в химическую технологию и основы научных исследований</t>
  </si>
  <si>
    <t>Философия</t>
  </si>
  <si>
    <t>Захарова Н. В.</t>
  </si>
  <si>
    <t>Быданов В.Е.</t>
  </si>
  <si>
    <t>Неопределен</t>
  </si>
  <si>
    <t>Основы экономики и менеджмента</t>
  </si>
  <si>
    <t>Органическая химия</t>
  </si>
  <si>
    <t>Шукаева А.В.</t>
  </si>
  <si>
    <t>Питерская Ю.Л.</t>
  </si>
  <si>
    <t>Козляева Е.В.</t>
  </si>
  <si>
    <t>Электротехника и промышленная электроника</t>
  </si>
  <si>
    <t>Тарасова Н.А.</t>
  </si>
  <si>
    <t>Материаловедение</t>
  </si>
  <si>
    <t>Социология и психология</t>
  </si>
  <si>
    <t>Сычев М.М.</t>
  </si>
  <si>
    <t>Барышникова Е.И.</t>
  </si>
  <si>
    <t>Иванова П.О.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</si>
</sst>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0" fontId="1" fillId="0" borderId="11" xfId="0" applyFont="1" applyBorder="1" applyAlignment="1">
      <alignment horizontal="left"/>
    </xf>
    <xf numFmtId="164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2" fillId="0" borderId="11" xfId="0" applyFont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164" fontId="1" fillId="2" borderId="13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164" fontId="1" fillId="0" borderId="13" xfId="0" applyNumberFormat="1" applyFont="1" applyBorder="1" applyAlignment="1">
      <alignment horizontal="right"/>
    </xf>
    <xf numFmtId="164" fontId="1" fillId="0" borderId="14" xfId="0" applyNumberFormat="1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B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759D-FC56-4A65-A31A-5526435614A8}">
  <dimension ref="A1:H27"/>
  <sheetViews>
    <sheetView workbookViewId="0">
      <selection activeCell="N4" sqref="N4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19.109375" bestFit="1" customWidth="1"/>
    <col min="4" max="4" width="11.33203125" bestFit="1" customWidth="1"/>
    <col min="5" max="5" width="11.21875" bestFit="1" customWidth="1"/>
    <col min="6" max="6" width="14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1"/>
      <c r="B1" s="42"/>
      <c r="C1" s="42"/>
      <c r="D1" s="42"/>
      <c r="E1" s="42"/>
      <c r="F1" s="42"/>
      <c r="G1" s="42"/>
      <c r="H1" s="43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4" t="str">
        <f>info!B2</f>
        <v>Понедельник</v>
      </c>
      <c r="B3" s="34">
        <v>1</v>
      </c>
      <c r="C3" s="20"/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5"/>
      <c r="B4" s="35">
        <v>2</v>
      </c>
      <c r="C4" s="13"/>
      <c r="D4" s="13"/>
      <c r="E4" s="13"/>
      <c r="F4" s="13"/>
      <c r="G4" s="14">
        <f>info!G3</f>
        <v>0.47916666666666669</v>
      </c>
      <c r="H4" s="15">
        <f>info!H3</f>
        <v>0.54861111111111116</v>
      </c>
    </row>
    <row r="5" spans="1:8" x14ac:dyDescent="0.3">
      <c r="A5" s="45"/>
      <c r="B5" s="36">
        <v>3</v>
      </c>
      <c r="C5" s="16"/>
      <c r="D5" s="9"/>
      <c r="E5" s="9"/>
      <c r="F5" s="9"/>
      <c r="G5" s="10">
        <f>info!G4</f>
        <v>0.58333333333333337</v>
      </c>
      <c r="H5" s="11">
        <f>info!H4</f>
        <v>0.65277777777777779</v>
      </c>
    </row>
    <row r="6" spans="1:8" x14ac:dyDescent="0.3">
      <c r="A6" s="45"/>
      <c r="B6" s="35">
        <v>4</v>
      </c>
      <c r="C6" s="12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6"/>
      <c r="B7" s="37">
        <v>5</v>
      </c>
      <c r="C7" s="23"/>
      <c r="D7" s="23"/>
      <c r="E7" s="23"/>
      <c r="F7" s="23"/>
      <c r="G7" s="24">
        <f>info!G6</f>
        <v>0.75</v>
      </c>
      <c r="H7" s="25">
        <f>info!H6</f>
        <v>0.81944444444444442</v>
      </c>
    </row>
    <row r="8" spans="1:8" x14ac:dyDescent="0.3">
      <c r="A8" s="44" t="str">
        <f>info!B3</f>
        <v>Вторник</v>
      </c>
      <c r="B8" s="38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5"/>
      <c r="B9" s="36">
        <v>2</v>
      </c>
      <c r="C9" s="9"/>
      <c r="D9" s="9"/>
      <c r="E9" s="9"/>
      <c r="F9" s="9"/>
      <c r="G9" s="10">
        <f>info!G3</f>
        <v>0.47916666666666669</v>
      </c>
      <c r="H9" s="11">
        <f>info!H3</f>
        <v>0.54861111111111116</v>
      </c>
    </row>
    <row r="10" spans="1:8" x14ac:dyDescent="0.3">
      <c r="A10" s="45"/>
      <c r="B10" s="35">
        <v>3</v>
      </c>
      <c r="C10" s="12"/>
      <c r="D10" s="13"/>
      <c r="E10" s="13"/>
      <c r="F10" s="13"/>
      <c r="G10" s="14">
        <f>info!G4</f>
        <v>0.58333333333333337</v>
      </c>
      <c r="H10" s="15">
        <f>info!H4</f>
        <v>0.65277777777777779</v>
      </c>
    </row>
    <row r="11" spans="1:8" x14ac:dyDescent="0.3">
      <c r="A11" s="45"/>
      <c r="B11" s="36">
        <v>4</v>
      </c>
      <c r="C11" s="16"/>
      <c r="D11" s="9"/>
      <c r="E11" s="9"/>
      <c r="F11" s="9"/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6"/>
      <c r="B12" s="39">
        <v>5</v>
      </c>
      <c r="C12" s="17"/>
      <c r="D12" s="17"/>
      <c r="E12" s="17"/>
      <c r="F12" s="17"/>
      <c r="G12" s="18">
        <f>info!G6</f>
        <v>0.75</v>
      </c>
      <c r="H12" s="19">
        <f>info!H6</f>
        <v>0.81944444444444442</v>
      </c>
    </row>
    <row r="13" spans="1:8" x14ac:dyDescent="0.3">
      <c r="A13" s="44" t="str">
        <f>info!B4</f>
        <v>Среда</v>
      </c>
      <c r="B13" s="34">
        <v>1</v>
      </c>
      <c r="C13" s="20"/>
      <c r="D13" s="20"/>
      <c r="E13" s="20"/>
      <c r="F13" s="20"/>
      <c r="G13" s="21">
        <f>info!G2</f>
        <v>0.39583333333333331</v>
      </c>
      <c r="H13" s="22">
        <f>info!H2</f>
        <v>0.46527777777777779</v>
      </c>
    </row>
    <row r="14" spans="1:8" x14ac:dyDescent="0.3">
      <c r="A14" s="45"/>
      <c r="B14" s="35">
        <v>2</v>
      </c>
      <c r="C14" s="13"/>
      <c r="D14" s="13"/>
      <c r="E14" s="13"/>
      <c r="F14" s="13"/>
      <c r="G14" s="14">
        <f>info!G3</f>
        <v>0.47916666666666669</v>
      </c>
      <c r="H14" s="15">
        <f>info!H3</f>
        <v>0.54861111111111116</v>
      </c>
    </row>
    <row r="15" spans="1:8" x14ac:dyDescent="0.3">
      <c r="A15" s="45"/>
      <c r="B15" s="36">
        <v>3</v>
      </c>
      <c r="C15" s="16"/>
      <c r="D15" s="9"/>
      <c r="E15" s="9"/>
      <c r="F15" s="9"/>
      <c r="G15" s="10">
        <f>info!G4</f>
        <v>0.58333333333333337</v>
      </c>
      <c r="H15" s="11">
        <f>info!H4</f>
        <v>0.65277777777777779</v>
      </c>
    </row>
    <row r="16" spans="1:8" x14ac:dyDescent="0.3">
      <c r="A16" s="45"/>
      <c r="B16" s="35">
        <v>4</v>
      </c>
      <c r="C16" s="12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6"/>
      <c r="B17" s="37">
        <v>5</v>
      </c>
      <c r="C17" s="23"/>
      <c r="D17" s="23"/>
      <c r="E17" s="23"/>
      <c r="F17" s="23"/>
      <c r="G17" s="24">
        <f>info!G6</f>
        <v>0.75</v>
      </c>
      <c r="H17" s="25">
        <f>info!H6</f>
        <v>0.81944444444444442</v>
      </c>
    </row>
    <row r="18" spans="1:8" x14ac:dyDescent="0.3">
      <c r="A18" s="44" t="str">
        <f>info!B5</f>
        <v>Четверг</v>
      </c>
      <c r="B18" s="38">
        <v>1</v>
      </c>
      <c r="C18" s="6"/>
      <c r="D18" s="6"/>
      <c r="E18" s="6"/>
      <c r="F18" s="6"/>
      <c r="G18" s="7">
        <f>info!G2</f>
        <v>0.39583333333333331</v>
      </c>
      <c r="H18" s="8">
        <f>info!H2</f>
        <v>0.46527777777777779</v>
      </c>
    </row>
    <row r="19" spans="1:8" x14ac:dyDescent="0.3">
      <c r="A19" s="45"/>
      <c r="B19" s="36">
        <v>2</v>
      </c>
      <c r="C19" s="9"/>
      <c r="D19" s="9"/>
      <c r="E19" s="9"/>
      <c r="F19" s="9"/>
      <c r="G19" s="10">
        <f>info!G3</f>
        <v>0.47916666666666669</v>
      </c>
      <c r="H19" s="11">
        <f>info!H3</f>
        <v>0.54861111111111116</v>
      </c>
    </row>
    <row r="20" spans="1:8" x14ac:dyDescent="0.3">
      <c r="A20" s="45"/>
      <c r="B20" s="35">
        <v>3</v>
      </c>
      <c r="C20" s="12"/>
      <c r="D20" s="13"/>
      <c r="E20" s="13"/>
      <c r="F20" s="13"/>
      <c r="G20" s="14">
        <f>info!G4</f>
        <v>0.58333333333333337</v>
      </c>
      <c r="H20" s="15">
        <f>info!H4</f>
        <v>0.65277777777777779</v>
      </c>
    </row>
    <row r="21" spans="1:8" x14ac:dyDescent="0.3">
      <c r="A21" s="45"/>
      <c r="B21" s="36">
        <v>4</v>
      </c>
      <c r="C21" s="16"/>
      <c r="D21" s="9"/>
      <c r="E21" s="9"/>
      <c r="F21" s="9"/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6"/>
      <c r="B22" s="39">
        <v>5</v>
      </c>
      <c r="C22" s="17"/>
      <c r="D22" s="17"/>
      <c r="E22" s="17"/>
      <c r="F22" s="17"/>
      <c r="G22" s="18">
        <f>info!G6</f>
        <v>0.75</v>
      </c>
      <c r="H22" s="19">
        <f>info!H6</f>
        <v>0.81944444444444442</v>
      </c>
    </row>
    <row r="23" spans="1:8" x14ac:dyDescent="0.3">
      <c r="A23" s="44" t="str">
        <f>info!B6</f>
        <v>Пятница</v>
      </c>
      <c r="B23" s="34">
        <v>1</v>
      </c>
      <c r="C23" s="20"/>
      <c r="D23" s="20"/>
      <c r="E23" s="20"/>
      <c r="F23" s="20"/>
      <c r="G23" s="21">
        <f>info!G2</f>
        <v>0.39583333333333331</v>
      </c>
      <c r="H23" s="22">
        <f>info!H2</f>
        <v>0.46527777777777779</v>
      </c>
    </row>
    <row r="24" spans="1:8" x14ac:dyDescent="0.3">
      <c r="A24" s="45"/>
      <c r="B24" s="35">
        <v>2</v>
      </c>
      <c r="C24" s="13"/>
      <c r="D24" s="13"/>
      <c r="E24" s="13"/>
      <c r="F24" s="13"/>
      <c r="G24" s="14">
        <f>info!G3</f>
        <v>0.47916666666666669</v>
      </c>
      <c r="H24" s="15">
        <f>info!H3</f>
        <v>0.54861111111111116</v>
      </c>
    </row>
    <row r="25" spans="1:8" x14ac:dyDescent="0.3">
      <c r="A25" s="45"/>
      <c r="B25" s="36">
        <v>3</v>
      </c>
      <c r="C25" s="16"/>
      <c r="D25" s="9"/>
      <c r="E25" s="9"/>
      <c r="F25" s="9"/>
      <c r="G25" s="10">
        <f>info!G4</f>
        <v>0.58333333333333337</v>
      </c>
      <c r="H25" s="11">
        <f>info!H4</f>
        <v>0.65277777777777779</v>
      </c>
    </row>
    <row r="26" spans="1:8" x14ac:dyDescent="0.3">
      <c r="A26" s="45"/>
      <c r="B26" s="35">
        <v>4</v>
      </c>
      <c r="C26" s="12"/>
      <c r="D26" s="13"/>
      <c r="E26" s="13"/>
      <c r="F26" s="13"/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6"/>
      <c r="B27" s="37">
        <v>5</v>
      </c>
      <c r="C27" s="23"/>
      <c r="D27" s="23"/>
      <c r="E27" s="23"/>
      <c r="F27" s="23"/>
      <c r="G27" s="24">
        <f>info!G6</f>
        <v>0.75</v>
      </c>
      <c r="H27" s="25">
        <f>info!H6</f>
        <v>0.81944444444444442</v>
      </c>
    </row>
  </sheetData>
  <mergeCells count="6">
    <mergeCell ref="A1:H1"/>
    <mergeCell ref="A23:A27"/>
    <mergeCell ref="A18:A22"/>
    <mergeCell ref="A13:A17"/>
    <mergeCell ref="A8:A12"/>
    <mergeCell ref="A3:A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E839-422E-42B0-879C-2F18795041AB}">
  <dimension ref="A1:H18"/>
  <sheetViews>
    <sheetView workbookViewId="0">
      <selection activeCell="F13" sqref="F13"/>
    </sheetView>
  </sheetViews>
  <sheetFormatPr defaultRowHeight="14.4" x14ac:dyDescent="0.3"/>
  <cols>
    <col min="1" max="1" width="16.33203125" bestFit="1" customWidth="1"/>
    <col min="2" max="2" width="13.21875" bestFit="1" customWidth="1"/>
    <col min="3" max="3" width="76.77734375" bestFit="1" customWidth="1"/>
    <col min="4" max="4" width="14.109375" bestFit="1" customWidth="1"/>
    <col min="5" max="5" width="16.88671875" bestFit="1" customWidth="1"/>
    <col min="6" max="6" width="18.5546875" bestFit="1" customWidth="1"/>
    <col min="7" max="7" width="13.21875" bestFit="1" customWidth="1"/>
    <col min="8" max="8" width="12.21875" bestFit="1" customWidth="1"/>
  </cols>
  <sheetData>
    <row r="1" spans="1:8" x14ac:dyDescent="0.3">
      <c r="A1" s="40" t="s">
        <v>23</v>
      </c>
      <c r="B1" s="40" t="s">
        <v>19</v>
      </c>
      <c r="C1" s="40" t="s">
        <v>15</v>
      </c>
      <c r="D1" s="40" t="s">
        <v>16</v>
      </c>
      <c r="E1" s="40" t="s">
        <v>17</v>
      </c>
      <c r="F1" s="40" t="s">
        <v>18</v>
      </c>
      <c r="G1" s="40" t="s">
        <v>20</v>
      </c>
      <c r="H1" s="40" t="s">
        <v>21</v>
      </c>
    </row>
    <row r="2" spans="1:8" x14ac:dyDescent="0.3">
      <c r="A2" t="s">
        <v>41</v>
      </c>
      <c r="B2" t="s">
        <v>7</v>
      </c>
      <c r="C2" t="s">
        <v>43</v>
      </c>
      <c r="D2" t="s">
        <v>28</v>
      </c>
      <c r="E2" t="s">
        <v>24</v>
      </c>
      <c r="F2" t="s">
        <v>45</v>
      </c>
      <c r="G2" s="1">
        <v>0.39583333333333331</v>
      </c>
      <c r="H2" s="1">
        <v>0.46527777777777779</v>
      </c>
    </row>
    <row r="3" spans="1:8" x14ac:dyDescent="0.3">
      <c r="A3" t="s">
        <v>42</v>
      </c>
      <c r="B3" t="s">
        <v>9</v>
      </c>
      <c r="C3" t="s">
        <v>44</v>
      </c>
      <c r="D3" t="s">
        <v>22</v>
      </c>
      <c r="E3" t="s">
        <v>26</v>
      </c>
      <c r="F3" t="s">
        <v>46</v>
      </c>
      <c r="G3" s="1">
        <v>0.47916666666666669</v>
      </c>
      <c r="H3" s="1">
        <v>0.54861111111111116</v>
      </c>
    </row>
    <row r="4" spans="1:8" x14ac:dyDescent="0.3">
      <c r="B4" t="s">
        <v>10</v>
      </c>
      <c r="C4" t="s">
        <v>11</v>
      </c>
      <c r="D4" t="s">
        <v>27</v>
      </c>
      <c r="E4" t="s">
        <v>32</v>
      </c>
      <c r="F4" t="s">
        <v>47</v>
      </c>
      <c r="G4" s="1">
        <v>0.58333333333333337</v>
      </c>
      <c r="H4" s="1">
        <v>0.65277777777777779</v>
      </c>
    </row>
    <row r="5" spans="1:8" x14ac:dyDescent="0.3">
      <c r="B5" t="s">
        <v>12</v>
      </c>
      <c r="C5" t="s">
        <v>48</v>
      </c>
      <c r="E5" t="s">
        <v>33</v>
      </c>
      <c r="F5" t="s">
        <v>30</v>
      </c>
      <c r="G5" s="1">
        <v>0.66666666666666663</v>
      </c>
      <c r="H5" s="1">
        <v>0.73611111111111116</v>
      </c>
    </row>
    <row r="6" spans="1:8" x14ac:dyDescent="0.3">
      <c r="B6" t="s">
        <v>13</v>
      </c>
      <c r="C6" t="s">
        <v>49</v>
      </c>
      <c r="E6">
        <v>206</v>
      </c>
      <c r="F6" t="s">
        <v>50</v>
      </c>
      <c r="G6" s="2">
        <v>0.75</v>
      </c>
      <c r="H6" s="2">
        <v>0.81944444444444442</v>
      </c>
    </row>
    <row r="7" spans="1:8" x14ac:dyDescent="0.3">
      <c r="C7" t="s">
        <v>8</v>
      </c>
      <c r="E7" t="s">
        <v>14</v>
      </c>
      <c r="F7" t="s">
        <v>51</v>
      </c>
    </row>
    <row r="8" spans="1:8" x14ac:dyDescent="0.3">
      <c r="C8" t="s">
        <v>53</v>
      </c>
      <c r="E8" t="s">
        <v>34</v>
      </c>
      <c r="F8" t="s">
        <v>31</v>
      </c>
    </row>
    <row r="9" spans="1:8" x14ac:dyDescent="0.3">
      <c r="C9" t="s">
        <v>55</v>
      </c>
      <c r="E9" t="s">
        <v>29</v>
      </c>
      <c r="F9" t="s">
        <v>52</v>
      </c>
    </row>
    <row r="10" spans="1:8" x14ac:dyDescent="0.3">
      <c r="C10" t="s">
        <v>56</v>
      </c>
      <c r="E10" t="s">
        <v>25</v>
      </c>
      <c r="F10" t="s">
        <v>54</v>
      </c>
    </row>
    <row r="11" spans="1:8" x14ac:dyDescent="0.3">
      <c r="E11">
        <v>201</v>
      </c>
      <c r="F11" t="s">
        <v>57</v>
      </c>
    </row>
    <row r="12" spans="1:8" x14ac:dyDescent="0.3">
      <c r="E12">
        <v>254</v>
      </c>
      <c r="F12" t="s">
        <v>58</v>
      </c>
    </row>
    <row r="13" spans="1:8" x14ac:dyDescent="0.3">
      <c r="E13" t="s">
        <v>35</v>
      </c>
      <c r="F13" t="s">
        <v>59</v>
      </c>
    </row>
    <row r="14" spans="1:8" x14ac:dyDescent="0.3">
      <c r="E14" t="s">
        <v>36</v>
      </c>
    </row>
    <row r="15" spans="1:8" x14ac:dyDescent="0.3">
      <c r="E15" t="s">
        <v>37</v>
      </c>
    </row>
    <row r="16" spans="1:8" x14ac:dyDescent="0.3">
      <c r="E16" t="s">
        <v>38</v>
      </c>
    </row>
    <row r="17" spans="5:5" x14ac:dyDescent="0.3">
      <c r="E17" t="s">
        <v>40</v>
      </c>
    </row>
    <row r="18" spans="5:5" x14ac:dyDescent="0.3">
      <c r="E18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DB99-DB34-46E4-8F09-445BC809EB2F}">
  <sheetPr>
    <pageSetUpPr fitToPage="1"/>
  </sheetPr>
  <dimension ref="A1:H27"/>
  <sheetViews>
    <sheetView zoomScaleNormal="100" workbookViewId="0">
      <selection activeCell="C6" sqref="C6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35" bestFit="1" customWidth="1"/>
    <col min="4" max="4" width="11.33203125" bestFit="1" customWidth="1"/>
    <col min="5" max="5" width="15.5546875" bestFit="1" customWidth="1"/>
    <col min="6" max="6" width="17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7" t="str">
        <f>info!A3</f>
        <v>Нечётная неделя (?)</v>
      </c>
      <c r="B1" s="48"/>
      <c r="C1" s="48"/>
      <c r="D1" s="48"/>
      <c r="E1" s="48"/>
      <c r="F1" s="48"/>
      <c r="G1" s="48"/>
      <c r="H1" s="49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4" t="str">
        <f>info!B2</f>
        <v>Понедельник</v>
      </c>
      <c r="B3" s="28">
        <v>1</v>
      </c>
      <c r="C3" s="20"/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5"/>
      <c r="B4" s="29">
        <v>2</v>
      </c>
      <c r="C4" s="13"/>
      <c r="D4" s="13"/>
      <c r="E4" s="13"/>
      <c r="F4" s="13"/>
      <c r="G4" s="14">
        <f>info!G3</f>
        <v>0.47916666666666669</v>
      </c>
      <c r="H4" s="15">
        <f>info!H3</f>
        <v>0.54861111111111116</v>
      </c>
    </row>
    <row r="5" spans="1:8" x14ac:dyDescent="0.3">
      <c r="A5" s="45"/>
      <c r="B5" s="30">
        <v>3</v>
      </c>
      <c r="C5" s="9"/>
      <c r="D5" s="9"/>
      <c r="E5" s="9"/>
      <c r="F5" s="9"/>
      <c r="G5" s="10">
        <f>info!G4</f>
        <v>0.58333333333333337</v>
      </c>
      <c r="H5" s="11">
        <f>info!H4</f>
        <v>0.65277777777777779</v>
      </c>
    </row>
    <row r="6" spans="1:8" x14ac:dyDescent="0.3">
      <c r="A6" s="45"/>
      <c r="B6" s="29">
        <v>4</v>
      </c>
      <c r="C6" s="13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6"/>
      <c r="B7" s="31">
        <v>5</v>
      </c>
      <c r="C7" s="26"/>
      <c r="D7" s="26"/>
      <c r="E7" s="26"/>
      <c r="F7" s="26"/>
      <c r="G7" s="24">
        <f>info!G6</f>
        <v>0.75</v>
      </c>
      <c r="H7" s="25">
        <f>info!H6</f>
        <v>0.81944444444444442</v>
      </c>
    </row>
    <row r="8" spans="1:8" x14ac:dyDescent="0.3">
      <c r="A8" s="44" t="str">
        <f>info!B3</f>
        <v>Вторник</v>
      </c>
      <c r="B8" s="32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5"/>
      <c r="B9" s="30">
        <v>2</v>
      </c>
      <c r="C9" s="9"/>
      <c r="D9" s="9"/>
      <c r="E9" s="9"/>
      <c r="F9" s="9"/>
      <c r="G9" s="10">
        <f>info!G3</f>
        <v>0.47916666666666669</v>
      </c>
      <c r="H9" s="11">
        <f>info!H3</f>
        <v>0.54861111111111116</v>
      </c>
    </row>
    <row r="10" spans="1:8" x14ac:dyDescent="0.3">
      <c r="A10" s="45"/>
      <c r="B10" s="29">
        <v>3</v>
      </c>
      <c r="C10" s="13"/>
      <c r="D10" s="13"/>
      <c r="E10" s="13"/>
      <c r="F10" s="13"/>
      <c r="G10" s="14">
        <f>info!G4</f>
        <v>0.58333333333333337</v>
      </c>
      <c r="H10" s="15">
        <f>info!H4</f>
        <v>0.65277777777777779</v>
      </c>
    </row>
    <row r="11" spans="1:8" x14ac:dyDescent="0.3">
      <c r="A11" s="45"/>
      <c r="B11" s="30">
        <v>4</v>
      </c>
      <c r="C11" s="9"/>
      <c r="D11" s="9"/>
      <c r="E11" s="9"/>
      <c r="F11" s="9"/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6"/>
      <c r="B12" s="33">
        <v>5</v>
      </c>
      <c r="C12" s="27"/>
      <c r="D12" s="27"/>
      <c r="E12" s="27"/>
      <c r="F12" s="27"/>
      <c r="G12" s="18">
        <f>info!G6</f>
        <v>0.75</v>
      </c>
      <c r="H12" s="19">
        <f>info!H6</f>
        <v>0.81944444444444442</v>
      </c>
    </row>
    <row r="13" spans="1:8" x14ac:dyDescent="0.3">
      <c r="A13" s="44" t="str">
        <f>info!B4</f>
        <v>Среда</v>
      </c>
      <c r="B13" s="28">
        <v>1</v>
      </c>
      <c r="C13" s="20"/>
      <c r="D13" s="20"/>
      <c r="E13" s="20"/>
      <c r="F13" s="20"/>
      <c r="G13" s="21">
        <f>info!G2</f>
        <v>0.39583333333333331</v>
      </c>
      <c r="H13" s="22">
        <f>info!H2</f>
        <v>0.46527777777777779</v>
      </c>
    </row>
    <row r="14" spans="1:8" x14ac:dyDescent="0.3">
      <c r="A14" s="45"/>
      <c r="B14" s="29">
        <v>2</v>
      </c>
      <c r="C14" s="13"/>
      <c r="D14" s="13"/>
      <c r="E14" s="13"/>
      <c r="F14" s="13"/>
      <c r="G14" s="14">
        <f>info!G3</f>
        <v>0.47916666666666669</v>
      </c>
      <c r="H14" s="15">
        <f>info!H3</f>
        <v>0.54861111111111116</v>
      </c>
    </row>
    <row r="15" spans="1:8" x14ac:dyDescent="0.3">
      <c r="A15" s="45"/>
      <c r="B15" s="30">
        <v>3</v>
      </c>
      <c r="C15" s="9"/>
      <c r="D15" s="9"/>
      <c r="E15" s="9"/>
      <c r="F15" s="9"/>
      <c r="G15" s="10">
        <f>info!G4</f>
        <v>0.58333333333333337</v>
      </c>
      <c r="H15" s="11">
        <f>info!H4</f>
        <v>0.65277777777777779</v>
      </c>
    </row>
    <row r="16" spans="1:8" x14ac:dyDescent="0.3">
      <c r="A16" s="45"/>
      <c r="B16" s="29">
        <v>4</v>
      </c>
      <c r="C16" s="13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6"/>
      <c r="B17" s="31">
        <v>5</v>
      </c>
      <c r="C17" s="26"/>
      <c r="D17" s="26"/>
      <c r="E17" s="26"/>
      <c r="F17" s="26"/>
      <c r="G17" s="24">
        <f>info!G6</f>
        <v>0.75</v>
      </c>
      <c r="H17" s="25">
        <f>info!H6</f>
        <v>0.81944444444444442</v>
      </c>
    </row>
    <row r="18" spans="1:8" x14ac:dyDescent="0.3">
      <c r="A18" s="44" t="str">
        <f>info!B5</f>
        <v>Четверг</v>
      </c>
      <c r="B18" s="32">
        <v>1</v>
      </c>
      <c r="C18" s="6"/>
      <c r="D18" s="6"/>
      <c r="E18" s="6"/>
      <c r="F18" s="6"/>
      <c r="G18" s="7">
        <f>info!G2</f>
        <v>0.39583333333333331</v>
      </c>
      <c r="H18" s="8">
        <f>info!H2</f>
        <v>0.46527777777777779</v>
      </c>
    </row>
    <row r="19" spans="1:8" x14ac:dyDescent="0.3">
      <c r="A19" s="45"/>
      <c r="B19" s="30">
        <v>2</v>
      </c>
      <c r="C19" s="9"/>
      <c r="D19" s="9"/>
      <c r="E19" s="9"/>
      <c r="F19" s="9"/>
      <c r="G19" s="10">
        <f>info!G3</f>
        <v>0.47916666666666669</v>
      </c>
      <c r="H19" s="11">
        <f>info!H3</f>
        <v>0.54861111111111116</v>
      </c>
    </row>
    <row r="20" spans="1:8" x14ac:dyDescent="0.3">
      <c r="A20" s="45"/>
      <c r="B20" s="29">
        <v>3</v>
      </c>
      <c r="C20" s="13"/>
      <c r="D20" s="13"/>
      <c r="E20" s="13"/>
      <c r="F20" s="13"/>
      <c r="G20" s="14">
        <f>info!G4</f>
        <v>0.58333333333333337</v>
      </c>
      <c r="H20" s="15">
        <f>info!H4</f>
        <v>0.65277777777777779</v>
      </c>
    </row>
    <row r="21" spans="1:8" x14ac:dyDescent="0.3">
      <c r="A21" s="45"/>
      <c r="B21" s="30">
        <v>4</v>
      </c>
      <c r="C21" s="9"/>
      <c r="D21" s="9"/>
      <c r="E21" s="9"/>
      <c r="F21" s="9"/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6"/>
      <c r="B22" s="33">
        <v>5</v>
      </c>
      <c r="C22" s="27"/>
      <c r="D22" s="27"/>
      <c r="E22" s="27"/>
      <c r="F22" s="27"/>
      <c r="G22" s="18">
        <f>info!G6</f>
        <v>0.75</v>
      </c>
      <c r="H22" s="19">
        <f>info!H6</f>
        <v>0.81944444444444442</v>
      </c>
    </row>
    <row r="23" spans="1:8" x14ac:dyDescent="0.3">
      <c r="A23" s="44" t="str">
        <f>info!B6</f>
        <v>Пятница</v>
      </c>
      <c r="B23" s="28">
        <v>1</v>
      </c>
      <c r="C23" s="20"/>
      <c r="D23" s="20"/>
      <c r="E23" s="20"/>
      <c r="F23" s="20"/>
      <c r="G23" s="21">
        <f>info!G2</f>
        <v>0.39583333333333331</v>
      </c>
      <c r="H23" s="22">
        <f>info!H2</f>
        <v>0.46527777777777779</v>
      </c>
    </row>
    <row r="24" spans="1:8" x14ac:dyDescent="0.3">
      <c r="A24" s="45"/>
      <c r="B24" s="29">
        <v>2</v>
      </c>
      <c r="C24" s="13"/>
      <c r="D24" s="13"/>
      <c r="E24" s="13"/>
      <c r="F24" s="13"/>
      <c r="G24" s="14">
        <f>info!G3</f>
        <v>0.47916666666666669</v>
      </c>
      <c r="H24" s="15">
        <f>info!H3</f>
        <v>0.54861111111111116</v>
      </c>
    </row>
    <row r="25" spans="1:8" x14ac:dyDescent="0.3">
      <c r="A25" s="45"/>
      <c r="B25" s="30">
        <v>3</v>
      </c>
      <c r="C25" s="9"/>
      <c r="D25" s="9"/>
      <c r="E25" s="9"/>
      <c r="F25" s="9"/>
      <c r="G25" s="10">
        <f>info!G4</f>
        <v>0.58333333333333337</v>
      </c>
      <c r="H25" s="11">
        <f>info!H4</f>
        <v>0.65277777777777779</v>
      </c>
    </row>
    <row r="26" spans="1:8" x14ac:dyDescent="0.3">
      <c r="A26" s="45"/>
      <c r="B26" s="29">
        <v>4</v>
      </c>
      <c r="C26" s="13"/>
      <c r="D26" s="13"/>
      <c r="E26" s="13"/>
      <c r="F26" s="13"/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6"/>
      <c r="B27" s="31">
        <v>5</v>
      </c>
      <c r="C27" s="26"/>
      <c r="D27" s="26"/>
      <c r="E27" s="26"/>
      <c r="F27" s="26"/>
      <c r="G27" s="24">
        <f>info!G6</f>
        <v>0.75</v>
      </c>
      <c r="H27" s="25">
        <f>info!H6</f>
        <v>0.81944444444444442</v>
      </c>
    </row>
  </sheetData>
  <mergeCells count="6">
    <mergeCell ref="A23:A27"/>
    <mergeCell ref="A1:H1"/>
    <mergeCell ref="A3:A7"/>
    <mergeCell ref="A8:A12"/>
    <mergeCell ref="A13:A17"/>
    <mergeCell ref="A18:A2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5B5A-16B5-4CF7-8E3B-1FE6BC180659}">
  <sheetPr>
    <pageSetUpPr fitToPage="1"/>
  </sheetPr>
  <dimension ref="A1:H27"/>
  <sheetViews>
    <sheetView tabSelected="1" zoomScaleNormal="100" workbookViewId="0">
      <selection activeCell="C3" sqref="C3:C5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35" bestFit="1" customWidth="1"/>
    <col min="4" max="4" width="11.33203125" bestFit="1" customWidth="1"/>
    <col min="5" max="5" width="15.5546875" bestFit="1" customWidth="1"/>
    <col min="6" max="6" width="17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7" t="str">
        <f>info!A2</f>
        <v>Чётная неделя (?)</v>
      </c>
      <c r="B1" s="48"/>
      <c r="C1" s="48"/>
      <c r="D1" s="48"/>
      <c r="E1" s="48"/>
      <c r="F1" s="48"/>
      <c r="G1" s="48"/>
      <c r="H1" s="49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4" t="str">
        <f>info!B2</f>
        <v>Понедельник</v>
      </c>
      <c r="B3" s="34">
        <v>1</v>
      </c>
      <c r="C3" s="20"/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5"/>
      <c r="B4" s="35">
        <v>2</v>
      </c>
      <c r="C4" s="13"/>
      <c r="D4" s="13"/>
      <c r="E4" s="13"/>
      <c r="F4" s="13"/>
      <c r="G4" s="14">
        <f>info!G3</f>
        <v>0.47916666666666669</v>
      </c>
      <c r="H4" s="15">
        <f>info!H3</f>
        <v>0.54861111111111116</v>
      </c>
    </row>
    <row r="5" spans="1:8" x14ac:dyDescent="0.3">
      <c r="A5" s="45"/>
      <c r="B5" s="36">
        <v>3</v>
      </c>
      <c r="C5" s="9"/>
      <c r="D5" s="9"/>
      <c r="E5" s="9"/>
      <c r="F5" s="9"/>
      <c r="G5" s="10">
        <f>info!G4</f>
        <v>0.58333333333333337</v>
      </c>
      <c r="H5" s="11">
        <f>info!H4</f>
        <v>0.65277777777777779</v>
      </c>
    </row>
    <row r="6" spans="1:8" x14ac:dyDescent="0.3">
      <c r="A6" s="45"/>
      <c r="B6" s="35">
        <v>4</v>
      </c>
      <c r="C6" s="13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6"/>
      <c r="B7" s="37">
        <v>5</v>
      </c>
      <c r="C7" s="26"/>
      <c r="D7" s="26"/>
      <c r="E7" s="26"/>
      <c r="F7" s="26"/>
      <c r="G7" s="24">
        <f>info!G6</f>
        <v>0.75</v>
      </c>
      <c r="H7" s="25">
        <f>info!H6</f>
        <v>0.81944444444444442</v>
      </c>
    </row>
    <row r="8" spans="1:8" x14ac:dyDescent="0.3">
      <c r="A8" s="44" t="str">
        <f>info!B3</f>
        <v>Вторник</v>
      </c>
      <c r="B8" s="38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5"/>
      <c r="B9" s="36">
        <v>2</v>
      </c>
      <c r="C9" s="9"/>
      <c r="D9" s="9"/>
      <c r="E9" s="9"/>
      <c r="F9" s="9"/>
      <c r="G9" s="10">
        <f>info!G3</f>
        <v>0.47916666666666669</v>
      </c>
      <c r="H9" s="11">
        <f>info!H3</f>
        <v>0.54861111111111116</v>
      </c>
    </row>
    <row r="10" spans="1:8" x14ac:dyDescent="0.3">
      <c r="A10" s="45"/>
      <c r="B10" s="35">
        <v>3</v>
      </c>
      <c r="C10" s="13"/>
      <c r="D10" s="13"/>
      <c r="E10" s="13"/>
      <c r="F10" s="13"/>
      <c r="G10" s="14">
        <f>info!G4</f>
        <v>0.58333333333333337</v>
      </c>
      <c r="H10" s="15">
        <f>info!H4</f>
        <v>0.65277777777777779</v>
      </c>
    </row>
    <row r="11" spans="1:8" x14ac:dyDescent="0.3">
      <c r="A11" s="45"/>
      <c r="B11" s="36">
        <v>4</v>
      </c>
      <c r="C11" s="9"/>
      <c r="D11" s="9"/>
      <c r="E11" s="9"/>
      <c r="F11" s="9"/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6"/>
      <c r="B12" s="39">
        <v>5</v>
      </c>
      <c r="C12" s="27"/>
      <c r="D12" s="27"/>
      <c r="E12" s="27"/>
      <c r="F12" s="27"/>
      <c r="G12" s="18">
        <f>info!G6</f>
        <v>0.75</v>
      </c>
      <c r="H12" s="19">
        <f>info!H6</f>
        <v>0.81944444444444442</v>
      </c>
    </row>
    <row r="13" spans="1:8" x14ac:dyDescent="0.3">
      <c r="A13" s="44" t="str">
        <f>info!B4</f>
        <v>Среда</v>
      </c>
      <c r="B13" s="34">
        <v>1</v>
      </c>
      <c r="C13" s="20"/>
      <c r="D13" s="20"/>
      <c r="E13" s="20"/>
      <c r="F13" s="20"/>
      <c r="G13" s="21">
        <f>info!G2</f>
        <v>0.39583333333333331</v>
      </c>
      <c r="H13" s="22">
        <f>info!H2</f>
        <v>0.46527777777777779</v>
      </c>
    </row>
    <row r="14" spans="1:8" x14ac:dyDescent="0.3">
      <c r="A14" s="45"/>
      <c r="B14" s="35">
        <v>2</v>
      </c>
      <c r="C14" s="13"/>
      <c r="D14" s="13"/>
      <c r="E14" s="13"/>
      <c r="F14" s="13"/>
      <c r="G14" s="14">
        <f>info!G3</f>
        <v>0.47916666666666669</v>
      </c>
      <c r="H14" s="15">
        <f>info!H3</f>
        <v>0.54861111111111116</v>
      </c>
    </row>
    <row r="15" spans="1:8" x14ac:dyDescent="0.3">
      <c r="A15" s="45"/>
      <c r="B15" s="36">
        <v>3</v>
      </c>
      <c r="C15" s="9"/>
      <c r="D15" s="9"/>
      <c r="E15" s="9"/>
      <c r="F15" s="9"/>
      <c r="G15" s="10">
        <f>info!G4</f>
        <v>0.58333333333333337</v>
      </c>
      <c r="H15" s="11">
        <f>info!H4</f>
        <v>0.65277777777777779</v>
      </c>
    </row>
    <row r="16" spans="1:8" x14ac:dyDescent="0.3">
      <c r="A16" s="45"/>
      <c r="B16" s="35">
        <v>4</v>
      </c>
      <c r="C16" s="13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6"/>
      <c r="B17" s="37">
        <v>5</v>
      </c>
      <c r="C17" s="26"/>
      <c r="D17" s="26"/>
      <c r="E17" s="26"/>
      <c r="F17" s="26"/>
      <c r="G17" s="24">
        <f>info!G6</f>
        <v>0.75</v>
      </c>
      <c r="H17" s="25">
        <f>info!H6</f>
        <v>0.81944444444444442</v>
      </c>
    </row>
    <row r="18" spans="1:8" x14ac:dyDescent="0.3">
      <c r="A18" s="44" t="str">
        <f>info!B5</f>
        <v>Четверг</v>
      </c>
      <c r="B18" s="38">
        <v>1</v>
      </c>
      <c r="C18" s="6"/>
      <c r="D18" s="6"/>
      <c r="E18" s="6"/>
      <c r="F18" s="6"/>
      <c r="G18" s="7">
        <f>info!G2</f>
        <v>0.39583333333333331</v>
      </c>
      <c r="H18" s="8">
        <f>info!H2</f>
        <v>0.46527777777777779</v>
      </c>
    </row>
    <row r="19" spans="1:8" x14ac:dyDescent="0.3">
      <c r="A19" s="45"/>
      <c r="B19" s="36">
        <v>2</v>
      </c>
      <c r="C19" s="9"/>
      <c r="D19" s="9"/>
      <c r="E19" s="9"/>
      <c r="F19" s="9"/>
      <c r="G19" s="10">
        <f>info!G3</f>
        <v>0.47916666666666669</v>
      </c>
      <c r="H19" s="11">
        <f>info!H3</f>
        <v>0.54861111111111116</v>
      </c>
    </row>
    <row r="20" spans="1:8" x14ac:dyDescent="0.3">
      <c r="A20" s="45"/>
      <c r="B20" s="35">
        <v>3</v>
      </c>
      <c r="C20" s="13"/>
      <c r="D20" s="13"/>
      <c r="E20" s="13"/>
      <c r="F20" s="13"/>
      <c r="G20" s="14">
        <f>info!G4</f>
        <v>0.58333333333333337</v>
      </c>
      <c r="H20" s="15">
        <f>info!H4</f>
        <v>0.65277777777777779</v>
      </c>
    </row>
    <row r="21" spans="1:8" x14ac:dyDescent="0.3">
      <c r="A21" s="45"/>
      <c r="B21" s="36">
        <v>4</v>
      </c>
      <c r="C21" s="9"/>
      <c r="D21" s="9"/>
      <c r="E21" s="9"/>
      <c r="F21" s="9"/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6"/>
      <c r="B22" s="39">
        <v>5</v>
      </c>
      <c r="C22" s="27"/>
      <c r="D22" s="27"/>
      <c r="E22" s="27"/>
      <c r="F22" s="27"/>
      <c r="G22" s="18">
        <f>info!G6</f>
        <v>0.75</v>
      </c>
      <c r="H22" s="19">
        <f>info!H6</f>
        <v>0.81944444444444442</v>
      </c>
    </row>
    <row r="23" spans="1:8" x14ac:dyDescent="0.3">
      <c r="A23" s="44" t="str">
        <f>info!B6</f>
        <v>Пятница</v>
      </c>
      <c r="B23" s="34">
        <v>1</v>
      </c>
      <c r="C23" s="20"/>
      <c r="D23" s="20"/>
      <c r="E23" s="20"/>
      <c r="F23" s="20"/>
      <c r="G23" s="21">
        <f>info!G2</f>
        <v>0.39583333333333331</v>
      </c>
      <c r="H23" s="22">
        <f>info!H2</f>
        <v>0.46527777777777779</v>
      </c>
    </row>
    <row r="24" spans="1:8" x14ac:dyDescent="0.3">
      <c r="A24" s="45"/>
      <c r="B24" s="35">
        <v>2</v>
      </c>
      <c r="C24" s="13"/>
      <c r="D24" s="13"/>
      <c r="E24" s="13"/>
      <c r="F24" s="13"/>
      <c r="G24" s="14">
        <f>info!G3</f>
        <v>0.47916666666666669</v>
      </c>
      <c r="H24" s="15">
        <f>info!H3</f>
        <v>0.54861111111111116</v>
      </c>
    </row>
    <row r="25" spans="1:8" x14ac:dyDescent="0.3">
      <c r="A25" s="45"/>
      <c r="B25" s="36">
        <v>3</v>
      </c>
      <c r="C25" s="9"/>
      <c r="D25" s="9"/>
      <c r="E25" s="9"/>
      <c r="F25" s="9"/>
      <c r="G25" s="10">
        <f>info!G4</f>
        <v>0.58333333333333337</v>
      </c>
      <c r="H25" s="11">
        <f>info!H4</f>
        <v>0.65277777777777779</v>
      </c>
    </row>
    <row r="26" spans="1:8" x14ac:dyDescent="0.3">
      <c r="A26" s="45"/>
      <c r="B26" s="35">
        <v>4</v>
      </c>
      <c r="C26" s="13"/>
      <c r="D26" s="13"/>
      <c r="E26" s="13"/>
      <c r="F26" s="13"/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6"/>
      <c r="B27" s="37">
        <v>5</v>
      </c>
      <c r="C27" s="26"/>
      <c r="D27" s="26"/>
      <c r="E27" s="26"/>
      <c r="F27" s="26"/>
      <c r="G27" s="24">
        <f>info!G6</f>
        <v>0.75</v>
      </c>
      <c r="H27" s="25">
        <f>info!H6</f>
        <v>0.81944444444444442</v>
      </c>
    </row>
  </sheetData>
  <mergeCells count="6">
    <mergeCell ref="A23:A27"/>
    <mergeCell ref="A1:H1"/>
    <mergeCell ref="A3:A7"/>
    <mergeCell ref="A8:A12"/>
    <mergeCell ref="A13:A17"/>
    <mergeCell ref="A18:A2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info</vt:lpstr>
      <vt:lpstr>template-odd</vt:lpstr>
      <vt:lpstr>template-even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2026-08-31T08:02:08Z</dcterms:modified>
</cp:coreProperties>
</file>