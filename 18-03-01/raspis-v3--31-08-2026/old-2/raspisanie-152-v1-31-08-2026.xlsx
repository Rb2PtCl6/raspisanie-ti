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983AAD8C-F178-42C8-BA87-54B1747ADCA4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template" sheetId="5" r:id="rId1"/>
    <sheet name="info" sheetId="4" r:id="rId2"/>
    <sheet name="template-even" sheetId="6" r:id="rId3"/>
    <sheet name="template-odd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6" l="1"/>
  <c r="F24" i="6"/>
  <c r="E24" i="6"/>
  <c r="E5" i="6"/>
  <c r="D24" i="6"/>
  <c r="C24" i="6"/>
  <c r="E11" i="6"/>
  <c r="E9" i="6"/>
  <c r="E15" i="6"/>
  <c r="E14" i="6"/>
  <c r="E13" i="6"/>
  <c r="E18" i="6"/>
  <c r="E26" i="6"/>
  <c r="E5" i="7"/>
  <c r="E11" i="7"/>
  <c r="E9" i="7"/>
  <c r="E8" i="7"/>
  <c r="E15" i="7"/>
  <c r="E13" i="7"/>
  <c r="E21" i="7"/>
  <c r="E18" i="7"/>
  <c r="E26" i="7"/>
  <c r="E24" i="7"/>
  <c r="D25" i="7"/>
  <c r="D19" i="7"/>
  <c r="D24" i="7"/>
  <c r="D18" i="7"/>
  <c r="D15" i="7"/>
  <c r="D13" i="7"/>
  <c r="D11" i="7"/>
  <c r="D9" i="7"/>
  <c r="D26" i="7"/>
  <c r="D23" i="7"/>
  <c r="D21" i="7"/>
  <c r="D20" i="7"/>
  <c r="D14" i="7"/>
  <c r="D10" i="7"/>
  <c r="D8" i="7"/>
  <c r="D5" i="7"/>
  <c r="D4" i="7"/>
  <c r="D3" i="7"/>
  <c r="D26" i="6"/>
  <c r="D25" i="6"/>
  <c r="D23" i="6"/>
  <c r="D21" i="6"/>
  <c r="D20" i="6"/>
  <c r="D19" i="6"/>
  <c r="D18" i="6"/>
  <c r="D15" i="6"/>
  <c r="D14" i="6"/>
  <c r="D13" i="6"/>
  <c r="D11" i="6"/>
  <c r="D10" i="6"/>
  <c r="D9" i="6"/>
  <c r="D5" i="6"/>
  <c r="D4" i="6"/>
  <c r="F9" i="7"/>
  <c r="F13" i="7"/>
  <c r="F21" i="7"/>
  <c r="F20" i="7"/>
  <c r="F19" i="7"/>
  <c r="F18" i="7"/>
  <c r="F15" i="7"/>
  <c r="F14" i="7"/>
  <c r="F11" i="7"/>
  <c r="F10" i="7"/>
  <c r="F8" i="7"/>
  <c r="F5" i="7"/>
  <c r="F4" i="7"/>
  <c r="F3" i="7"/>
  <c r="E25" i="7"/>
  <c r="E23" i="7"/>
  <c r="E20" i="7"/>
  <c r="E19" i="7"/>
  <c r="E14" i="7"/>
  <c r="E10" i="7"/>
  <c r="E4" i="7"/>
  <c r="E3" i="7"/>
  <c r="E25" i="6"/>
  <c r="E23" i="6"/>
  <c r="E20" i="6"/>
  <c r="E19" i="6"/>
  <c r="E10" i="6"/>
  <c r="E4" i="6"/>
  <c r="F26" i="6"/>
  <c r="F25" i="6"/>
  <c r="F21" i="6"/>
  <c r="F20" i="6"/>
  <c r="F19" i="6"/>
  <c r="F18" i="6"/>
  <c r="F15" i="6"/>
  <c r="F14" i="6"/>
  <c r="F13" i="6"/>
  <c r="F11" i="6"/>
  <c r="F10" i="6"/>
  <c r="F9" i="6"/>
  <c r="F5" i="6"/>
  <c r="F4" i="6"/>
  <c r="F26" i="7"/>
  <c r="F25" i="7"/>
  <c r="F24" i="7"/>
  <c r="F23" i="7"/>
  <c r="F23" i="6"/>
  <c r="C26" i="7"/>
  <c r="C25" i="7"/>
  <c r="C24" i="7"/>
  <c r="C23" i="7"/>
  <c r="C21" i="7"/>
  <c r="C20" i="7"/>
  <c r="C19" i="7"/>
  <c r="C18" i="7"/>
  <c r="C15" i="7"/>
  <c r="C14" i="7"/>
  <c r="C13" i="7"/>
  <c r="C11" i="7"/>
  <c r="C10" i="7"/>
  <c r="C9" i="7"/>
  <c r="C8" i="7"/>
  <c r="C5" i="7"/>
  <c r="C4" i="7"/>
  <c r="C3" i="7"/>
  <c r="C5" i="6"/>
  <c r="C4" i="6"/>
  <c r="C11" i="6"/>
  <c r="C10" i="6"/>
  <c r="C9" i="6"/>
  <c r="C26" i="6"/>
  <c r="C25" i="6"/>
  <c r="C23" i="6"/>
  <c r="C21" i="6"/>
  <c r="C20" i="6"/>
  <c r="C19" i="6"/>
  <c r="C18" i="6"/>
  <c r="C15" i="6"/>
  <c r="C14" i="6"/>
  <c r="C13" i="6"/>
  <c r="A1" i="7"/>
  <c r="A1" i="6"/>
  <c r="H27" i="7"/>
  <c r="G27" i="7"/>
  <c r="H26" i="7"/>
  <c r="G26" i="7"/>
  <c r="H25" i="7"/>
  <c r="G25" i="7"/>
  <c r="H24" i="7"/>
  <c r="G24" i="7"/>
  <c r="H23" i="7"/>
  <c r="G23" i="7"/>
  <c r="A23" i="7"/>
  <c r="H22" i="7"/>
  <c r="G22" i="7"/>
  <c r="H21" i="7"/>
  <c r="G21" i="7"/>
  <c r="H20" i="7"/>
  <c r="G20" i="7"/>
  <c r="H19" i="7"/>
  <c r="G19" i="7"/>
  <c r="H18" i="7"/>
  <c r="G18" i="7"/>
  <c r="A18" i="7"/>
  <c r="H17" i="7"/>
  <c r="G17" i="7"/>
  <c r="H16" i="7"/>
  <c r="G16" i="7"/>
  <c r="H15" i="7"/>
  <c r="G15" i="7"/>
  <c r="H14" i="7"/>
  <c r="G14" i="7"/>
  <c r="H13" i="7"/>
  <c r="G13" i="7"/>
  <c r="A13" i="7"/>
  <c r="H12" i="7"/>
  <c r="G12" i="7"/>
  <c r="H11" i="7"/>
  <c r="G11" i="7"/>
  <c r="H10" i="7"/>
  <c r="G10" i="7"/>
  <c r="H9" i="7"/>
  <c r="G9" i="7"/>
  <c r="H8" i="7"/>
  <c r="G8" i="7"/>
  <c r="A8" i="7"/>
  <c r="H7" i="7"/>
  <c r="G7" i="7"/>
  <c r="H6" i="7"/>
  <c r="G6" i="7"/>
  <c r="H5" i="7"/>
  <c r="G5" i="7"/>
  <c r="H4" i="7"/>
  <c r="G4" i="7"/>
  <c r="H3" i="7"/>
  <c r="G3" i="7"/>
  <c r="A3" i="7"/>
  <c r="H27" i="6"/>
  <c r="G27" i="6"/>
  <c r="H26" i="6"/>
  <c r="G26" i="6"/>
  <c r="H25" i="6"/>
  <c r="G25" i="6"/>
  <c r="H24" i="6"/>
  <c r="G24" i="6"/>
  <c r="H23" i="6"/>
  <c r="G23" i="6"/>
  <c r="A23" i="6"/>
  <c r="H22" i="6"/>
  <c r="G22" i="6"/>
  <c r="H21" i="6"/>
  <c r="G21" i="6"/>
  <c r="H20" i="6"/>
  <c r="G20" i="6"/>
  <c r="H19" i="6"/>
  <c r="G19" i="6"/>
  <c r="H18" i="6"/>
  <c r="G18" i="6"/>
  <c r="A18" i="6"/>
  <c r="H17" i="6"/>
  <c r="G17" i="6"/>
  <c r="H16" i="6"/>
  <c r="G16" i="6"/>
  <c r="H15" i="6"/>
  <c r="G15" i="6"/>
  <c r="H14" i="6"/>
  <c r="G14" i="6"/>
  <c r="H13" i="6"/>
  <c r="G13" i="6"/>
  <c r="A13" i="6"/>
  <c r="H12" i="6"/>
  <c r="G12" i="6"/>
  <c r="H11" i="6"/>
  <c r="G11" i="6"/>
  <c r="H10" i="6"/>
  <c r="G10" i="6"/>
  <c r="H9" i="6"/>
  <c r="G9" i="6"/>
  <c r="H8" i="6"/>
  <c r="G8" i="6"/>
  <c r="A8" i="6"/>
  <c r="H7" i="6"/>
  <c r="G7" i="6"/>
  <c r="H6" i="6"/>
  <c r="G6" i="6"/>
  <c r="H5" i="6"/>
  <c r="G5" i="6"/>
  <c r="H4" i="6"/>
  <c r="G4" i="6"/>
  <c r="H3" i="6"/>
  <c r="G3" i="6"/>
  <c r="A3" i="6"/>
  <c r="H27" i="5"/>
  <c r="G27" i="5"/>
  <c r="H22" i="5"/>
  <c r="G22" i="5"/>
  <c r="H17" i="5"/>
  <c r="G17" i="5"/>
  <c r="H12" i="5"/>
  <c r="G12" i="5"/>
  <c r="H7" i="5"/>
  <c r="G7" i="5"/>
  <c r="A23" i="5"/>
  <c r="H23" i="5"/>
  <c r="H24" i="5"/>
  <c r="H25" i="5"/>
  <c r="H26" i="5"/>
  <c r="G24" i="5"/>
  <c r="G25" i="5"/>
  <c r="G26" i="5"/>
  <c r="G23" i="5"/>
  <c r="H18" i="5"/>
  <c r="H19" i="5"/>
  <c r="H20" i="5"/>
  <c r="H21" i="5"/>
  <c r="G19" i="5"/>
  <c r="G20" i="5"/>
  <c r="G21" i="5"/>
  <c r="G18" i="5"/>
  <c r="H13" i="5"/>
  <c r="H14" i="5"/>
  <c r="H15" i="5"/>
  <c r="H16" i="5"/>
  <c r="G14" i="5"/>
  <c r="G15" i="5"/>
  <c r="G16" i="5"/>
  <c r="G13" i="5"/>
  <c r="H8" i="5"/>
  <c r="H9" i="5"/>
  <c r="H10" i="5"/>
  <c r="H11" i="5"/>
  <c r="G9" i="5"/>
  <c r="G10" i="5"/>
  <c r="G11" i="5"/>
  <c r="G8" i="5"/>
  <c r="H3" i="5"/>
  <c r="H4" i="5"/>
  <c r="H5" i="5"/>
  <c r="H6" i="5"/>
  <c r="G4" i="5"/>
  <c r="G5" i="5"/>
  <c r="G6" i="5"/>
  <c r="G3" i="5"/>
  <c r="A18" i="5"/>
  <c r="A13" i="5"/>
  <c r="A3" i="5"/>
  <c r="A8" i="5"/>
</calcChain>
</file>

<file path=xl/sharedStrings.xml><?xml version="1.0" encoding="utf-8"?>
<sst xmlns="http://schemas.openxmlformats.org/spreadsheetml/2006/main" count="78" uniqueCount="62">
  <si>
    <t>Пара</t>
  </si>
  <si>
    <t>Предмет</t>
  </si>
  <si>
    <t>Тип</t>
  </si>
  <si>
    <t>Аудитория</t>
  </si>
  <si>
    <t>Преподаватель</t>
  </si>
  <si>
    <t>Начало</t>
  </si>
  <si>
    <t>Конец</t>
  </si>
  <si>
    <t>Понедельник</t>
  </si>
  <si>
    <t>Математика</t>
  </si>
  <si>
    <t>Вторник</t>
  </si>
  <si>
    <t>Среда</t>
  </si>
  <si>
    <t>Четверг</t>
  </si>
  <si>
    <t>Пятница</t>
  </si>
  <si>
    <t>предмет</t>
  </si>
  <si>
    <t>тип</t>
  </si>
  <si>
    <t>аудитория</t>
  </si>
  <si>
    <t>преподователь</t>
  </si>
  <si>
    <t>день_недели</t>
  </si>
  <si>
    <t>время начала</t>
  </si>
  <si>
    <t>время конца</t>
  </si>
  <si>
    <t>Лаб.</t>
  </si>
  <si>
    <t>неделя</t>
  </si>
  <si>
    <t>Каф. ин.яз.</t>
  </si>
  <si>
    <t>Каф. физвоспит.</t>
  </si>
  <si>
    <t>Практ.</t>
  </si>
  <si>
    <t>Лекц.</t>
  </si>
  <si>
    <t>Винник Т.В.</t>
  </si>
  <si>
    <t>Хотунцова С.В.</t>
  </si>
  <si>
    <t>7-413</t>
  </si>
  <si>
    <t>БХА</t>
  </si>
  <si>
    <t>7-320</t>
  </si>
  <si>
    <t>Введение в химическую технологию и основы научных исследований</t>
  </si>
  <si>
    <t>Философия</t>
  </si>
  <si>
    <t>Захарова Н. В.</t>
  </si>
  <si>
    <t>Быданов В.Е.</t>
  </si>
  <si>
    <t>Неопределен</t>
  </si>
  <si>
    <t>Основы экономики и менеджмента</t>
  </si>
  <si>
    <t>Органическая химия</t>
  </si>
  <si>
    <t>Шукаева А.В.</t>
  </si>
  <si>
    <t>Питерская Ю.Л.</t>
  </si>
  <si>
    <t>Козляева Е.В.</t>
  </si>
  <si>
    <t>Электротехника и промышленная электроника</t>
  </si>
  <si>
    <t>Тарасова Н.А.</t>
  </si>
  <si>
    <t>Материаловедение</t>
  </si>
  <si>
    <t>Социология и психология</t>
  </si>
  <si>
    <t>Сычев М.М.</t>
  </si>
  <si>
    <t>Барышникова Е.И.</t>
  </si>
  <si>
    <t>Иванова П.О.</t>
  </si>
  <si>
    <t>Физическая подготовка</t>
  </si>
  <si>
    <t>Иностранный язык</t>
  </si>
  <si>
    <t>Прикладная механика</t>
  </si>
  <si>
    <t>Каф.</t>
  </si>
  <si>
    <t>Галуза Л.Н.</t>
  </si>
  <si>
    <t>Васина О.В.</t>
  </si>
  <si>
    <t>Зеленина Е.В.</t>
  </si>
  <si>
    <t>Погребная Л.И.</t>
  </si>
  <si>
    <t>Нечётная неделя</t>
  </si>
  <si>
    <t>Чётная неделя</t>
  </si>
  <si>
    <t>7-401</t>
  </si>
  <si>
    <t>7-118</t>
  </si>
  <si>
    <t>7-326</t>
  </si>
  <si>
    <t>7-325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</si>
</sst>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&quot;:&quot;mm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64" fontId="0" fillId="0" borderId="0" xfId="0" applyNumberFormat="1"/>
    <xf numFmtId="20" fontId="0" fillId="0" borderId="0" xfId="0" applyNumberFormat="1"/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164" fontId="1" fillId="2" borderId="9" xfId="0" applyNumberFormat="1" applyFont="1" applyFill="1" applyBorder="1" applyAlignment="1">
      <alignment horizontal="right"/>
    </xf>
    <xf numFmtId="164" fontId="1" fillId="2" borderId="10" xfId="0" applyNumberFormat="1" applyFont="1" applyFill="1" applyBorder="1" applyAlignment="1">
      <alignment horizontal="right"/>
    </xf>
    <xf numFmtId="0" fontId="1" fillId="0" borderId="11" xfId="0" applyFont="1" applyBorder="1" applyAlignment="1">
      <alignment horizontal="left"/>
    </xf>
    <xf numFmtId="164" fontId="1" fillId="0" borderId="11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2" fillId="2" borderId="11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164" fontId="1" fillId="2" borderId="11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2" fillId="0" borderId="11" xfId="0" applyFont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164" fontId="1" fillId="2" borderId="13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0" fontId="1" fillId="0" borderId="9" xfId="0" applyFont="1" applyBorder="1" applyAlignment="1">
      <alignment horizontal="left"/>
    </xf>
    <xf numFmtId="164" fontId="1" fillId="0" borderId="9" xfId="0" applyNumberFormat="1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2" fillId="0" borderId="13" xfId="0" applyFont="1" applyBorder="1" applyAlignment="1">
      <alignment horizontal="left"/>
    </xf>
    <xf numFmtId="164" fontId="1" fillId="0" borderId="13" xfId="0" applyNumberFormat="1" applyFont="1" applyBorder="1" applyAlignment="1">
      <alignment horizontal="right"/>
    </xf>
    <xf numFmtId="164" fontId="1" fillId="0" borderId="14" xfId="0" applyNumberFormat="1" applyFont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B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C759D-FC56-4A65-A31A-5526435614A8}">
  <dimension ref="A1:H27"/>
  <sheetViews>
    <sheetView workbookViewId="0">
      <selection activeCell="N4" sqref="N4"/>
    </sheetView>
  </sheetViews>
  <sheetFormatPr defaultRowHeight="14.4" x14ac:dyDescent="0.3"/>
  <cols>
    <col min="1" max="1" width="13.109375" bestFit="1" customWidth="1"/>
    <col min="2" max="2" width="5.21875" bestFit="1" customWidth="1"/>
    <col min="3" max="3" width="19.109375" bestFit="1" customWidth="1"/>
    <col min="4" max="4" width="11.33203125" bestFit="1" customWidth="1"/>
    <col min="5" max="5" width="11.21875" bestFit="1" customWidth="1"/>
    <col min="6" max="6" width="14.44140625" bestFit="1" customWidth="1"/>
    <col min="7" max="7" width="7.33203125" bestFit="1" customWidth="1"/>
    <col min="8" max="8" width="6.21875" bestFit="1" customWidth="1"/>
  </cols>
  <sheetData>
    <row r="1" spans="1:8" x14ac:dyDescent="0.3">
      <c r="A1" s="47"/>
      <c r="B1" s="48"/>
      <c r="C1" s="48"/>
      <c r="D1" s="48"/>
      <c r="E1" s="48"/>
      <c r="F1" s="48"/>
      <c r="G1" s="48"/>
      <c r="H1" s="49"/>
    </row>
    <row r="2" spans="1:8" ht="15" thickBot="1" x14ac:dyDescent="0.35">
      <c r="A2" s="4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5" t="s">
        <v>6</v>
      </c>
    </row>
    <row r="3" spans="1:8" x14ac:dyDescent="0.3">
      <c r="A3" s="41" t="str">
        <f>info!B2</f>
        <v>Понедельник</v>
      </c>
      <c r="B3" s="34">
        <v>1</v>
      </c>
      <c r="C3" s="20"/>
      <c r="D3" s="20"/>
      <c r="E3" s="20"/>
      <c r="F3" s="20"/>
      <c r="G3" s="21">
        <f>info!G2</f>
        <v>0.39583333333333331</v>
      </c>
      <c r="H3" s="22">
        <f>info!H2</f>
        <v>0.46527777777777779</v>
      </c>
    </row>
    <row r="4" spans="1:8" x14ac:dyDescent="0.3">
      <c r="A4" s="42"/>
      <c r="B4" s="35">
        <v>2</v>
      </c>
      <c r="C4" s="13"/>
      <c r="D4" s="13"/>
      <c r="E4" s="13"/>
      <c r="F4" s="13"/>
      <c r="G4" s="14">
        <f>info!G3</f>
        <v>0.47916666666666669</v>
      </c>
      <c r="H4" s="15">
        <f>info!H3</f>
        <v>0.54861111111111116</v>
      </c>
    </row>
    <row r="5" spans="1:8" x14ac:dyDescent="0.3">
      <c r="A5" s="42"/>
      <c r="B5" s="36">
        <v>3</v>
      </c>
      <c r="C5" s="16"/>
      <c r="D5" s="9"/>
      <c r="E5" s="9"/>
      <c r="F5" s="9"/>
      <c r="G5" s="10">
        <f>info!G4</f>
        <v>0.58333333333333337</v>
      </c>
      <c r="H5" s="11">
        <f>info!H4</f>
        <v>0.65277777777777779</v>
      </c>
    </row>
    <row r="6" spans="1:8" x14ac:dyDescent="0.3">
      <c r="A6" s="42"/>
      <c r="B6" s="35">
        <v>4</v>
      </c>
      <c r="C6" s="12"/>
      <c r="D6" s="13"/>
      <c r="E6" s="13"/>
      <c r="F6" s="13"/>
      <c r="G6" s="14">
        <f>info!G5</f>
        <v>0.66666666666666663</v>
      </c>
      <c r="H6" s="15">
        <f>info!H5</f>
        <v>0.73611111111111116</v>
      </c>
    </row>
    <row r="7" spans="1:8" ht="15" thickBot="1" x14ac:dyDescent="0.35">
      <c r="A7" s="43"/>
      <c r="B7" s="37">
        <v>5</v>
      </c>
      <c r="C7" s="23"/>
      <c r="D7" s="23"/>
      <c r="E7" s="23"/>
      <c r="F7" s="23"/>
      <c r="G7" s="24">
        <f>info!G6</f>
        <v>0.75</v>
      </c>
      <c r="H7" s="25">
        <f>info!H6</f>
        <v>0.81944444444444442</v>
      </c>
    </row>
    <row r="8" spans="1:8" x14ac:dyDescent="0.3">
      <c r="A8" s="41" t="str">
        <f>info!B3</f>
        <v>Вторник</v>
      </c>
      <c r="B8" s="38">
        <v>1</v>
      </c>
      <c r="C8" s="6"/>
      <c r="D8" s="6"/>
      <c r="E8" s="6"/>
      <c r="F8" s="6"/>
      <c r="G8" s="7">
        <f>info!G2</f>
        <v>0.39583333333333331</v>
      </c>
      <c r="H8" s="8">
        <f>info!H2</f>
        <v>0.46527777777777779</v>
      </c>
    </row>
    <row r="9" spans="1:8" x14ac:dyDescent="0.3">
      <c r="A9" s="42"/>
      <c r="B9" s="36">
        <v>2</v>
      </c>
      <c r="C9" s="9"/>
      <c r="D9" s="9"/>
      <c r="E9" s="9"/>
      <c r="F9" s="9"/>
      <c r="G9" s="10">
        <f>info!G3</f>
        <v>0.47916666666666669</v>
      </c>
      <c r="H9" s="11">
        <f>info!H3</f>
        <v>0.54861111111111116</v>
      </c>
    </row>
    <row r="10" spans="1:8" x14ac:dyDescent="0.3">
      <c r="A10" s="42"/>
      <c r="B10" s="35">
        <v>3</v>
      </c>
      <c r="C10" s="12"/>
      <c r="D10" s="13"/>
      <c r="E10" s="13"/>
      <c r="F10" s="13"/>
      <c r="G10" s="14">
        <f>info!G4</f>
        <v>0.58333333333333337</v>
      </c>
      <c r="H10" s="15">
        <f>info!H4</f>
        <v>0.65277777777777779</v>
      </c>
    </row>
    <row r="11" spans="1:8" x14ac:dyDescent="0.3">
      <c r="A11" s="42"/>
      <c r="B11" s="36">
        <v>4</v>
      </c>
      <c r="C11" s="16"/>
      <c r="D11" s="9"/>
      <c r="E11" s="9"/>
      <c r="F11" s="9"/>
      <c r="G11" s="10">
        <f>info!G5</f>
        <v>0.66666666666666663</v>
      </c>
      <c r="H11" s="11">
        <f>info!H5</f>
        <v>0.73611111111111116</v>
      </c>
    </row>
    <row r="12" spans="1:8" ht="15" thickBot="1" x14ac:dyDescent="0.35">
      <c r="A12" s="43"/>
      <c r="B12" s="39">
        <v>5</v>
      </c>
      <c r="C12" s="17"/>
      <c r="D12" s="17"/>
      <c r="E12" s="17"/>
      <c r="F12" s="17"/>
      <c r="G12" s="18">
        <f>info!G6</f>
        <v>0.75</v>
      </c>
      <c r="H12" s="19">
        <f>info!H6</f>
        <v>0.81944444444444442</v>
      </c>
    </row>
    <row r="13" spans="1:8" x14ac:dyDescent="0.3">
      <c r="A13" s="41" t="str">
        <f>info!B4</f>
        <v>Среда</v>
      </c>
      <c r="B13" s="34">
        <v>1</v>
      </c>
      <c r="C13" s="20"/>
      <c r="D13" s="20"/>
      <c r="E13" s="20"/>
      <c r="F13" s="20"/>
      <c r="G13" s="21">
        <f>info!G2</f>
        <v>0.39583333333333331</v>
      </c>
      <c r="H13" s="22">
        <f>info!H2</f>
        <v>0.46527777777777779</v>
      </c>
    </row>
    <row r="14" spans="1:8" x14ac:dyDescent="0.3">
      <c r="A14" s="42"/>
      <c r="B14" s="35">
        <v>2</v>
      </c>
      <c r="C14" s="13"/>
      <c r="D14" s="13"/>
      <c r="E14" s="13"/>
      <c r="F14" s="13"/>
      <c r="G14" s="14">
        <f>info!G3</f>
        <v>0.47916666666666669</v>
      </c>
      <c r="H14" s="15">
        <f>info!H3</f>
        <v>0.54861111111111116</v>
      </c>
    </row>
    <row r="15" spans="1:8" x14ac:dyDescent="0.3">
      <c r="A15" s="42"/>
      <c r="B15" s="36">
        <v>3</v>
      </c>
      <c r="C15" s="16"/>
      <c r="D15" s="9"/>
      <c r="E15" s="9"/>
      <c r="F15" s="9"/>
      <c r="G15" s="10">
        <f>info!G4</f>
        <v>0.58333333333333337</v>
      </c>
      <c r="H15" s="11">
        <f>info!H4</f>
        <v>0.65277777777777779</v>
      </c>
    </row>
    <row r="16" spans="1:8" x14ac:dyDescent="0.3">
      <c r="A16" s="42"/>
      <c r="B16" s="35">
        <v>4</v>
      </c>
      <c r="C16" s="12"/>
      <c r="D16" s="13"/>
      <c r="E16" s="13"/>
      <c r="F16" s="13"/>
      <c r="G16" s="14">
        <f>info!G5</f>
        <v>0.66666666666666663</v>
      </c>
      <c r="H16" s="15">
        <f>info!H5</f>
        <v>0.73611111111111116</v>
      </c>
    </row>
    <row r="17" spans="1:8" ht="15" thickBot="1" x14ac:dyDescent="0.35">
      <c r="A17" s="43"/>
      <c r="B17" s="37">
        <v>5</v>
      </c>
      <c r="C17" s="23"/>
      <c r="D17" s="23"/>
      <c r="E17" s="23"/>
      <c r="F17" s="23"/>
      <c r="G17" s="24">
        <f>info!G6</f>
        <v>0.75</v>
      </c>
      <c r="H17" s="25">
        <f>info!H6</f>
        <v>0.81944444444444442</v>
      </c>
    </row>
    <row r="18" spans="1:8" x14ac:dyDescent="0.3">
      <c r="A18" s="41" t="str">
        <f>info!B5</f>
        <v>Четверг</v>
      </c>
      <c r="B18" s="38">
        <v>1</v>
      </c>
      <c r="C18" s="6"/>
      <c r="D18" s="6"/>
      <c r="E18" s="6"/>
      <c r="F18" s="6"/>
      <c r="G18" s="7">
        <f>info!G2</f>
        <v>0.39583333333333331</v>
      </c>
      <c r="H18" s="8">
        <f>info!H2</f>
        <v>0.46527777777777779</v>
      </c>
    </row>
    <row r="19" spans="1:8" x14ac:dyDescent="0.3">
      <c r="A19" s="42"/>
      <c r="B19" s="36">
        <v>2</v>
      </c>
      <c r="C19" s="9"/>
      <c r="D19" s="9"/>
      <c r="E19" s="9"/>
      <c r="F19" s="9"/>
      <c r="G19" s="10">
        <f>info!G3</f>
        <v>0.47916666666666669</v>
      </c>
      <c r="H19" s="11">
        <f>info!H3</f>
        <v>0.54861111111111116</v>
      </c>
    </row>
    <row r="20" spans="1:8" x14ac:dyDescent="0.3">
      <c r="A20" s="42"/>
      <c r="B20" s="35">
        <v>3</v>
      </c>
      <c r="C20" s="12"/>
      <c r="D20" s="13"/>
      <c r="E20" s="13"/>
      <c r="F20" s="13"/>
      <c r="G20" s="14">
        <f>info!G4</f>
        <v>0.58333333333333337</v>
      </c>
      <c r="H20" s="15">
        <f>info!H4</f>
        <v>0.65277777777777779</v>
      </c>
    </row>
    <row r="21" spans="1:8" x14ac:dyDescent="0.3">
      <c r="A21" s="42"/>
      <c r="B21" s="36">
        <v>4</v>
      </c>
      <c r="C21" s="16"/>
      <c r="D21" s="9"/>
      <c r="E21" s="9"/>
      <c r="F21" s="9"/>
      <c r="G21" s="10">
        <f>info!G5</f>
        <v>0.66666666666666663</v>
      </c>
      <c r="H21" s="11">
        <f>info!H5</f>
        <v>0.73611111111111116</v>
      </c>
    </row>
    <row r="22" spans="1:8" ht="15" thickBot="1" x14ac:dyDescent="0.35">
      <c r="A22" s="43"/>
      <c r="B22" s="39">
        <v>5</v>
      </c>
      <c r="C22" s="17"/>
      <c r="D22" s="17"/>
      <c r="E22" s="17"/>
      <c r="F22" s="17"/>
      <c r="G22" s="18">
        <f>info!G6</f>
        <v>0.75</v>
      </c>
      <c r="H22" s="19">
        <f>info!H6</f>
        <v>0.81944444444444442</v>
      </c>
    </row>
    <row r="23" spans="1:8" x14ac:dyDescent="0.3">
      <c r="A23" s="41" t="str">
        <f>info!B6</f>
        <v>Пятница</v>
      </c>
      <c r="B23" s="34">
        <v>1</v>
      </c>
      <c r="C23" s="20"/>
      <c r="D23" s="20"/>
      <c r="E23" s="20"/>
      <c r="F23" s="20"/>
      <c r="G23" s="21">
        <f>info!G2</f>
        <v>0.39583333333333331</v>
      </c>
      <c r="H23" s="22">
        <f>info!H2</f>
        <v>0.46527777777777779</v>
      </c>
    </row>
    <row r="24" spans="1:8" x14ac:dyDescent="0.3">
      <c r="A24" s="42"/>
      <c r="B24" s="35">
        <v>2</v>
      </c>
      <c r="C24" s="13"/>
      <c r="D24" s="13"/>
      <c r="E24" s="13"/>
      <c r="F24" s="13"/>
      <c r="G24" s="14">
        <f>info!G3</f>
        <v>0.47916666666666669</v>
      </c>
      <c r="H24" s="15">
        <f>info!H3</f>
        <v>0.54861111111111116</v>
      </c>
    </row>
    <row r="25" spans="1:8" x14ac:dyDescent="0.3">
      <c r="A25" s="42"/>
      <c r="B25" s="36">
        <v>3</v>
      </c>
      <c r="C25" s="16"/>
      <c r="D25" s="9"/>
      <c r="E25" s="9"/>
      <c r="F25" s="9"/>
      <c r="G25" s="10">
        <f>info!G4</f>
        <v>0.58333333333333337</v>
      </c>
      <c r="H25" s="11">
        <f>info!H4</f>
        <v>0.65277777777777779</v>
      </c>
    </row>
    <row r="26" spans="1:8" x14ac:dyDescent="0.3">
      <c r="A26" s="42"/>
      <c r="B26" s="35">
        <v>4</v>
      </c>
      <c r="C26" s="12"/>
      <c r="D26" s="13"/>
      <c r="E26" s="13"/>
      <c r="F26" s="13"/>
      <c r="G26" s="14">
        <f>info!G5</f>
        <v>0.66666666666666663</v>
      </c>
      <c r="H26" s="15">
        <f>info!H5</f>
        <v>0.73611111111111116</v>
      </c>
    </row>
    <row r="27" spans="1:8" ht="15" thickBot="1" x14ac:dyDescent="0.35">
      <c r="A27" s="43"/>
      <c r="B27" s="37">
        <v>5</v>
      </c>
      <c r="C27" s="23"/>
      <c r="D27" s="23"/>
      <c r="E27" s="23"/>
      <c r="F27" s="23"/>
      <c r="G27" s="24">
        <f>info!G6</f>
        <v>0.75</v>
      </c>
      <c r="H27" s="25">
        <f>info!H6</f>
        <v>0.81944444444444442</v>
      </c>
    </row>
  </sheetData>
  <mergeCells count="6">
    <mergeCell ref="A1:H1"/>
    <mergeCell ref="A23:A27"/>
    <mergeCell ref="A18:A22"/>
    <mergeCell ref="A13:A17"/>
    <mergeCell ref="A8:A12"/>
    <mergeCell ref="A3:A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DE839-422E-42B0-879C-2F18795041AB}">
  <dimension ref="A1:H34"/>
  <sheetViews>
    <sheetView topLeftCell="A10" workbookViewId="0">
      <selection activeCell="C26" sqref="C26"/>
    </sheetView>
  </sheetViews>
  <sheetFormatPr defaultRowHeight="14.4" x14ac:dyDescent="0.3"/>
  <cols>
    <col min="1" max="1" width="16.33203125" bestFit="1" customWidth="1"/>
    <col min="2" max="2" width="13.21875" bestFit="1" customWidth="1"/>
    <col min="3" max="3" width="76.77734375" bestFit="1" customWidth="1"/>
    <col min="4" max="4" width="14.109375" bestFit="1" customWidth="1"/>
    <col min="5" max="5" width="16.88671875" bestFit="1" customWidth="1"/>
    <col min="6" max="6" width="18.5546875" bestFit="1" customWidth="1"/>
    <col min="7" max="7" width="13.21875" bestFit="1" customWidth="1"/>
    <col min="8" max="8" width="12.21875" bestFit="1" customWidth="1"/>
  </cols>
  <sheetData>
    <row r="1" spans="1:8" x14ac:dyDescent="0.3">
      <c r="A1" s="40" t="s">
        <v>21</v>
      </c>
      <c r="B1" s="40" t="s">
        <v>17</v>
      </c>
      <c r="C1" s="40" t="s">
        <v>13</v>
      </c>
      <c r="D1" s="40" t="s">
        <v>14</v>
      </c>
      <c r="E1" s="40" t="s">
        <v>15</v>
      </c>
      <c r="F1" s="40" t="s">
        <v>16</v>
      </c>
      <c r="G1" s="40" t="s">
        <v>18</v>
      </c>
      <c r="H1" s="40" t="s">
        <v>19</v>
      </c>
    </row>
    <row r="2" spans="1:8" x14ac:dyDescent="0.3">
      <c r="A2" t="s">
        <v>56</v>
      </c>
      <c r="B2" t="s">
        <v>7</v>
      </c>
      <c r="C2" t="s">
        <v>31</v>
      </c>
      <c r="D2" t="s">
        <v>25</v>
      </c>
      <c r="E2" t="s">
        <v>22</v>
      </c>
      <c r="F2" t="s">
        <v>33</v>
      </c>
      <c r="G2" s="1">
        <v>0.39583333333333331</v>
      </c>
      <c r="H2" s="1">
        <v>0.46527777777777779</v>
      </c>
    </row>
    <row r="3" spans="1:8" x14ac:dyDescent="0.3">
      <c r="A3" t="s">
        <v>57</v>
      </c>
      <c r="B3" t="s">
        <v>9</v>
      </c>
      <c r="C3" t="s">
        <v>32</v>
      </c>
      <c r="D3" t="s">
        <v>20</v>
      </c>
      <c r="E3" t="s">
        <v>23</v>
      </c>
      <c r="F3" t="s">
        <v>34</v>
      </c>
      <c r="G3" s="1">
        <v>0.47916666666666669</v>
      </c>
      <c r="H3" s="1">
        <v>0.54861111111111116</v>
      </c>
    </row>
    <row r="4" spans="1:8" x14ac:dyDescent="0.3">
      <c r="B4" t="s">
        <v>10</v>
      </c>
      <c r="C4" t="s">
        <v>49</v>
      </c>
      <c r="D4" t="s">
        <v>24</v>
      </c>
      <c r="E4" t="s">
        <v>28</v>
      </c>
      <c r="F4" t="s">
        <v>35</v>
      </c>
      <c r="G4" s="1">
        <v>0.58333333333333337</v>
      </c>
      <c r="H4" s="1">
        <v>0.65277777777777779</v>
      </c>
    </row>
    <row r="5" spans="1:8" x14ac:dyDescent="0.3">
      <c r="B5" t="s">
        <v>11</v>
      </c>
      <c r="C5" t="s">
        <v>36</v>
      </c>
      <c r="E5" t="s">
        <v>29</v>
      </c>
      <c r="F5" t="s">
        <v>26</v>
      </c>
      <c r="G5" s="1">
        <v>0.66666666666666663</v>
      </c>
      <c r="H5" s="1">
        <v>0.73611111111111116</v>
      </c>
    </row>
    <row r="6" spans="1:8" x14ac:dyDescent="0.3">
      <c r="B6" t="s">
        <v>12</v>
      </c>
      <c r="C6" t="s">
        <v>37</v>
      </c>
      <c r="F6" t="s">
        <v>38</v>
      </c>
      <c r="G6" s="2">
        <v>0.75</v>
      </c>
      <c r="H6" s="2">
        <v>0.81944444444444442</v>
      </c>
    </row>
    <row r="7" spans="1:8" x14ac:dyDescent="0.3">
      <c r="C7" t="s">
        <v>8</v>
      </c>
      <c r="F7" t="s">
        <v>39</v>
      </c>
    </row>
    <row r="8" spans="1:8" x14ac:dyDescent="0.3">
      <c r="C8" t="s">
        <v>41</v>
      </c>
      <c r="F8" t="s">
        <v>27</v>
      </c>
    </row>
    <row r="9" spans="1:8" x14ac:dyDescent="0.3">
      <c r="C9" t="s">
        <v>43</v>
      </c>
      <c r="F9" t="s">
        <v>40</v>
      </c>
    </row>
    <row r="10" spans="1:8" x14ac:dyDescent="0.3">
      <c r="C10" t="s">
        <v>44</v>
      </c>
      <c r="F10" t="s">
        <v>42</v>
      </c>
    </row>
    <row r="11" spans="1:8" x14ac:dyDescent="0.3">
      <c r="C11" t="s">
        <v>48</v>
      </c>
      <c r="F11" t="s">
        <v>45</v>
      </c>
    </row>
    <row r="12" spans="1:8" x14ac:dyDescent="0.3">
      <c r="C12" t="s">
        <v>50</v>
      </c>
      <c r="F12" t="s">
        <v>46</v>
      </c>
    </row>
    <row r="13" spans="1:8" x14ac:dyDescent="0.3">
      <c r="F13" t="s">
        <v>47</v>
      </c>
    </row>
    <row r="14" spans="1:8" x14ac:dyDescent="0.3">
      <c r="F14" t="s">
        <v>52</v>
      </c>
    </row>
    <row r="15" spans="1:8" x14ac:dyDescent="0.3">
      <c r="F15" t="s">
        <v>53</v>
      </c>
    </row>
    <row r="16" spans="1:8" x14ac:dyDescent="0.3">
      <c r="F16" t="s">
        <v>54</v>
      </c>
    </row>
    <row r="17" spans="5:6" x14ac:dyDescent="0.3">
      <c r="F17" t="s">
        <v>55</v>
      </c>
    </row>
    <row r="19" spans="5:6" x14ac:dyDescent="0.3">
      <c r="E19" t="s">
        <v>51</v>
      </c>
    </row>
    <row r="20" spans="5:6" x14ac:dyDescent="0.3">
      <c r="E20">
        <v>357</v>
      </c>
    </row>
    <row r="21" spans="5:6" x14ac:dyDescent="0.3">
      <c r="E21" t="s">
        <v>60</v>
      </c>
    </row>
    <row r="22" spans="5:6" x14ac:dyDescent="0.3">
      <c r="E22">
        <v>215</v>
      </c>
    </row>
    <row r="23" spans="5:6" x14ac:dyDescent="0.3">
      <c r="E23" t="s">
        <v>58</v>
      </c>
    </row>
    <row r="24" spans="5:6" x14ac:dyDescent="0.3">
      <c r="E24">
        <v>413</v>
      </c>
    </row>
    <row r="25" spans="5:6" x14ac:dyDescent="0.3">
      <c r="E25" t="s">
        <v>29</v>
      </c>
    </row>
    <row r="26" spans="5:6" x14ac:dyDescent="0.3">
      <c r="E26">
        <v>211</v>
      </c>
    </row>
    <row r="27" spans="5:6" x14ac:dyDescent="0.3">
      <c r="E27" t="s">
        <v>61</v>
      </c>
    </row>
    <row r="28" spans="5:6" x14ac:dyDescent="0.3">
      <c r="E28" t="s">
        <v>59</v>
      </c>
    </row>
    <row r="29" spans="5:6" x14ac:dyDescent="0.3">
      <c r="E29" t="s">
        <v>30</v>
      </c>
    </row>
    <row r="30" spans="5:6" x14ac:dyDescent="0.3">
      <c r="E30" t="s">
        <v>28</v>
      </c>
    </row>
    <row r="31" spans="5:6" x14ac:dyDescent="0.3">
      <c r="E31">
        <v>201</v>
      </c>
    </row>
    <row r="32" spans="5:6" x14ac:dyDescent="0.3">
      <c r="E32">
        <v>301</v>
      </c>
    </row>
    <row r="33" spans="5:5" x14ac:dyDescent="0.3">
      <c r="E33">
        <v>319</v>
      </c>
    </row>
    <row r="34" spans="5:5" x14ac:dyDescent="0.3">
      <c r="E34">
        <v>306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DB99-DB34-46E4-8F09-445BC809EB2F}">
  <sheetPr>
    <pageSetUpPr fitToPage="1"/>
  </sheetPr>
  <dimension ref="A1:H27"/>
  <sheetViews>
    <sheetView tabSelected="1" zoomScaleNormal="100" workbookViewId="0">
      <selection activeCell="E4" sqref="E4"/>
    </sheetView>
  </sheetViews>
  <sheetFormatPr defaultRowHeight="14.4" x14ac:dyDescent="0.3"/>
  <cols>
    <col min="1" max="1" width="13.109375" bestFit="1" customWidth="1"/>
    <col min="2" max="2" width="5.21875" bestFit="1" customWidth="1"/>
    <col min="3" max="3" width="62.44140625" bestFit="1" customWidth="1"/>
    <col min="4" max="4" width="11.33203125" bestFit="1" customWidth="1"/>
    <col min="5" max="5" width="15.5546875" bestFit="1" customWidth="1"/>
    <col min="6" max="6" width="17.44140625" bestFit="1" customWidth="1"/>
    <col min="7" max="7" width="7.33203125" bestFit="1" customWidth="1"/>
    <col min="8" max="8" width="6.21875" bestFit="1" customWidth="1"/>
  </cols>
  <sheetData>
    <row r="1" spans="1:8" x14ac:dyDescent="0.3">
      <c r="A1" s="44" t="str">
        <f>info!A3</f>
        <v>Чётная неделя</v>
      </c>
      <c r="B1" s="45"/>
      <c r="C1" s="45"/>
      <c r="D1" s="45"/>
      <c r="E1" s="45"/>
      <c r="F1" s="45"/>
      <c r="G1" s="45"/>
      <c r="H1" s="46"/>
    </row>
    <row r="2" spans="1:8" ht="15" thickBot="1" x14ac:dyDescent="0.35">
      <c r="A2" s="4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5" t="s">
        <v>6</v>
      </c>
    </row>
    <row r="3" spans="1:8" x14ac:dyDescent="0.3">
      <c r="A3" s="41" t="str">
        <f>info!B2</f>
        <v>Понедельник</v>
      </c>
      <c r="B3" s="28">
        <v>1</v>
      </c>
      <c r="C3" s="20"/>
      <c r="D3" s="20"/>
      <c r="E3" s="20"/>
      <c r="F3" s="20"/>
      <c r="G3" s="21">
        <f>info!G2</f>
        <v>0.39583333333333331</v>
      </c>
      <c r="H3" s="22">
        <f>info!H2</f>
        <v>0.46527777777777779</v>
      </c>
    </row>
    <row r="4" spans="1:8" x14ac:dyDescent="0.3">
      <c r="A4" s="42"/>
      <c r="B4" s="29">
        <v>2</v>
      </c>
      <c r="C4" s="13" t="str">
        <f>info!C2</f>
        <v>Введение в химическую технологию и основы научных исследований</v>
      </c>
      <c r="D4" s="13" t="str">
        <f>info!D4</f>
        <v>Практ.</v>
      </c>
      <c r="E4" s="13" t="str">
        <f>info!E19</f>
        <v>Каф.</v>
      </c>
      <c r="F4" s="13" t="str">
        <f>info!F2</f>
        <v>Захарова Н. В.</v>
      </c>
      <c r="G4" s="14">
        <f>info!G3</f>
        <v>0.47916666666666669</v>
      </c>
      <c r="H4" s="15">
        <f>info!H3</f>
        <v>0.54861111111111116</v>
      </c>
    </row>
    <row r="5" spans="1:8" x14ac:dyDescent="0.3">
      <c r="A5" s="42"/>
      <c r="B5" s="30">
        <v>3</v>
      </c>
      <c r="C5" s="9" t="str">
        <f>info!C3</f>
        <v>Философия</v>
      </c>
      <c r="D5" s="9" t="str">
        <f>info!D4</f>
        <v>Практ.</v>
      </c>
      <c r="E5" s="9">
        <f>info!E20</f>
        <v>357</v>
      </c>
      <c r="F5" s="9" t="str">
        <f>info!F3</f>
        <v>Быданов В.Е.</v>
      </c>
      <c r="G5" s="10">
        <f>info!G4</f>
        <v>0.58333333333333337</v>
      </c>
      <c r="H5" s="11">
        <f>info!H4</f>
        <v>0.65277777777777779</v>
      </c>
    </row>
    <row r="6" spans="1:8" x14ac:dyDescent="0.3">
      <c r="A6" s="42"/>
      <c r="B6" s="29">
        <v>4</v>
      </c>
      <c r="C6" s="13"/>
      <c r="D6" s="13"/>
      <c r="E6" s="13"/>
      <c r="F6" s="13"/>
      <c r="G6" s="14">
        <f>info!G5</f>
        <v>0.66666666666666663</v>
      </c>
      <c r="H6" s="15">
        <f>info!H5</f>
        <v>0.73611111111111116</v>
      </c>
    </row>
    <row r="7" spans="1:8" ht="15" thickBot="1" x14ac:dyDescent="0.35">
      <c r="A7" s="43"/>
      <c r="B7" s="31">
        <v>5</v>
      </c>
      <c r="C7" s="26"/>
      <c r="D7" s="26"/>
      <c r="E7" s="26"/>
      <c r="F7" s="26"/>
      <c r="G7" s="24">
        <f>info!G6</f>
        <v>0.75</v>
      </c>
      <c r="H7" s="25">
        <f>info!H6</f>
        <v>0.81944444444444442</v>
      </c>
    </row>
    <row r="8" spans="1:8" x14ac:dyDescent="0.3">
      <c r="A8" s="41" t="str">
        <f>info!B3</f>
        <v>Вторник</v>
      </c>
      <c r="B8" s="32">
        <v>1</v>
      </c>
      <c r="C8" s="6"/>
      <c r="D8" s="6"/>
      <c r="E8" s="6"/>
      <c r="F8" s="6"/>
      <c r="G8" s="7">
        <f>info!G2</f>
        <v>0.39583333333333331</v>
      </c>
      <c r="H8" s="8">
        <f>info!H2</f>
        <v>0.46527777777777779</v>
      </c>
    </row>
    <row r="9" spans="1:8" x14ac:dyDescent="0.3">
      <c r="A9" s="42"/>
      <c r="B9" s="30">
        <v>2</v>
      </c>
      <c r="C9" s="9" t="str">
        <f>info!C5</f>
        <v>Основы экономики и менеджмента</v>
      </c>
      <c r="D9" s="9" t="str">
        <f>info!D4</f>
        <v>Практ.</v>
      </c>
      <c r="E9" s="9" t="str">
        <f>info!E21</f>
        <v>7-326</v>
      </c>
      <c r="F9" s="9" t="str">
        <f>info!F6</f>
        <v>Шукаева А.В.</v>
      </c>
      <c r="G9" s="10">
        <f>info!G3</f>
        <v>0.47916666666666669</v>
      </c>
      <c r="H9" s="11">
        <f>info!H3</f>
        <v>0.54861111111111116</v>
      </c>
    </row>
    <row r="10" spans="1:8" x14ac:dyDescent="0.3">
      <c r="A10" s="42"/>
      <c r="B10" s="29">
        <v>3</v>
      </c>
      <c r="C10" s="13" t="str">
        <f>info!C6</f>
        <v>Органическая химия</v>
      </c>
      <c r="D10" s="13" t="str">
        <f>info!D4</f>
        <v>Практ.</v>
      </c>
      <c r="E10" s="13" t="str">
        <f>info!E19</f>
        <v>Каф.</v>
      </c>
      <c r="F10" s="13" t="str">
        <f>info!F7</f>
        <v>Питерская Ю.Л.</v>
      </c>
      <c r="G10" s="14">
        <f>info!G4</f>
        <v>0.58333333333333337</v>
      </c>
      <c r="H10" s="15">
        <f>info!H4</f>
        <v>0.65277777777777779</v>
      </c>
    </row>
    <row r="11" spans="1:8" x14ac:dyDescent="0.3">
      <c r="A11" s="42"/>
      <c r="B11" s="30">
        <v>4</v>
      </c>
      <c r="C11" s="9" t="str">
        <f>info!C5</f>
        <v>Основы экономики и менеджмента</v>
      </c>
      <c r="D11" s="9" t="str">
        <f>info!D2</f>
        <v>Лекц.</v>
      </c>
      <c r="E11" s="9">
        <f>info!E22</f>
        <v>215</v>
      </c>
      <c r="F11" s="9" t="str">
        <f>info!F9</f>
        <v>Козляева Е.В.</v>
      </c>
      <c r="G11" s="10">
        <f>info!G5</f>
        <v>0.66666666666666663</v>
      </c>
      <c r="H11" s="11">
        <f>info!H5</f>
        <v>0.73611111111111116</v>
      </c>
    </row>
    <row r="12" spans="1:8" ht="15" thickBot="1" x14ac:dyDescent="0.35">
      <c r="A12" s="43"/>
      <c r="B12" s="33">
        <v>5</v>
      </c>
      <c r="C12" s="27"/>
      <c r="D12" s="27"/>
      <c r="E12" s="27"/>
      <c r="F12" s="27"/>
      <c r="G12" s="18">
        <f>info!G6</f>
        <v>0.75</v>
      </c>
      <c r="H12" s="19">
        <f>info!H6</f>
        <v>0.81944444444444442</v>
      </c>
    </row>
    <row r="13" spans="1:8" x14ac:dyDescent="0.3">
      <c r="A13" s="41" t="str">
        <f>info!B4</f>
        <v>Среда</v>
      </c>
      <c r="B13" s="28">
        <v>1</v>
      </c>
      <c r="C13" s="20" t="str">
        <f>info!C7</f>
        <v>Математика</v>
      </c>
      <c r="D13" s="20" t="str">
        <f>info!D2</f>
        <v>Лекц.</v>
      </c>
      <c r="E13" s="20" t="str">
        <f>info!E23</f>
        <v>7-401</v>
      </c>
      <c r="F13" s="20" t="str">
        <f>info!F5</f>
        <v>Винник Т.В.</v>
      </c>
      <c r="G13" s="21">
        <f>info!G2</f>
        <v>0.39583333333333331</v>
      </c>
      <c r="H13" s="22">
        <f>info!H2</f>
        <v>0.46527777777777779</v>
      </c>
    </row>
    <row r="14" spans="1:8" x14ac:dyDescent="0.3">
      <c r="A14" s="42"/>
      <c r="B14" s="29">
        <v>2</v>
      </c>
      <c r="C14" s="13" t="str">
        <f>info!C8</f>
        <v>Электротехника и промышленная электроника</v>
      </c>
      <c r="D14" s="13" t="str">
        <f>info!D2</f>
        <v>Лекц.</v>
      </c>
      <c r="E14" s="13" t="str">
        <f>info!E30</f>
        <v>7-413</v>
      </c>
      <c r="F14" s="13" t="str">
        <f>info!F10</f>
        <v>Тарасова Н.А.</v>
      </c>
      <c r="G14" s="14">
        <f>info!G3</f>
        <v>0.47916666666666669</v>
      </c>
      <c r="H14" s="15">
        <f>info!H3</f>
        <v>0.54861111111111116</v>
      </c>
    </row>
    <row r="15" spans="1:8" x14ac:dyDescent="0.3">
      <c r="A15" s="42"/>
      <c r="B15" s="30">
        <v>3</v>
      </c>
      <c r="C15" s="9" t="str">
        <f>info!C6</f>
        <v>Органическая химия</v>
      </c>
      <c r="D15" s="9" t="str">
        <f>info!D2</f>
        <v>Лекц.</v>
      </c>
      <c r="E15" s="9" t="str">
        <f>info!E5</f>
        <v>БХА</v>
      </c>
      <c r="F15" s="9" t="str">
        <f>info!F7</f>
        <v>Питерская Ю.Л.</v>
      </c>
      <c r="G15" s="10">
        <f>info!G4</f>
        <v>0.58333333333333337</v>
      </c>
      <c r="H15" s="11">
        <f>info!H4</f>
        <v>0.65277777777777779</v>
      </c>
    </row>
    <row r="16" spans="1:8" x14ac:dyDescent="0.3">
      <c r="A16" s="42"/>
      <c r="B16" s="29">
        <v>4</v>
      </c>
      <c r="C16" s="13"/>
      <c r="D16" s="13"/>
      <c r="E16" s="13"/>
      <c r="F16" s="13"/>
      <c r="G16" s="14">
        <f>info!G5</f>
        <v>0.66666666666666663</v>
      </c>
      <c r="H16" s="15">
        <f>info!H5</f>
        <v>0.73611111111111116</v>
      </c>
    </row>
    <row r="17" spans="1:8" ht="15" thickBot="1" x14ac:dyDescent="0.35">
      <c r="A17" s="43"/>
      <c r="B17" s="31">
        <v>5</v>
      </c>
      <c r="C17" s="26"/>
      <c r="D17" s="26"/>
      <c r="E17" s="26"/>
      <c r="F17" s="26"/>
      <c r="G17" s="24">
        <f>info!G6</f>
        <v>0.75</v>
      </c>
      <c r="H17" s="25">
        <f>info!H6</f>
        <v>0.81944444444444442</v>
      </c>
    </row>
    <row r="18" spans="1:8" x14ac:dyDescent="0.3">
      <c r="A18" s="41" t="str">
        <f>info!B5</f>
        <v>Четверг</v>
      </c>
      <c r="B18" s="32">
        <v>1</v>
      </c>
      <c r="C18" s="6" t="str">
        <f>info!C3</f>
        <v>Философия</v>
      </c>
      <c r="D18" s="6" t="str">
        <f>info!D2</f>
        <v>Лекц.</v>
      </c>
      <c r="E18" s="6">
        <f>info!E26</f>
        <v>211</v>
      </c>
      <c r="F18" s="6" t="str">
        <f>info!F3</f>
        <v>Быданов В.Е.</v>
      </c>
      <c r="G18" s="7">
        <f>info!G2</f>
        <v>0.39583333333333331</v>
      </c>
      <c r="H18" s="8">
        <f>info!H2</f>
        <v>0.46527777777777779</v>
      </c>
    </row>
    <row r="19" spans="1:8" x14ac:dyDescent="0.3">
      <c r="A19" s="42"/>
      <c r="B19" s="30">
        <v>2</v>
      </c>
      <c r="C19" s="9" t="str">
        <f>info!C9</f>
        <v>Материаловедение</v>
      </c>
      <c r="D19" s="9" t="str">
        <f>info!D3</f>
        <v>Лаб.</v>
      </c>
      <c r="E19" s="9" t="str">
        <f>info!E19</f>
        <v>Каф.</v>
      </c>
      <c r="F19" s="9" t="str">
        <f>info!F11</f>
        <v>Сычев М.М.</v>
      </c>
      <c r="G19" s="10">
        <f>info!G3</f>
        <v>0.47916666666666669</v>
      </c>
      <c r="H19" s="11">
        <f>info!H3</f>
        <v>0.54861111111111116</v>
      </c>
    </row>
    <row r="20" spans="1:8" x14ac:dyDescent="0.3">
      <c r="A20" s="42"/>
      <c r="B20" s="29">
        <v>3</v>
      </c>
      <c r="C20" s="13" t="str">
        <f>info!C11</f>
        <v>Физическая подготовка</v>
      </c>
      <c r="D20" s="13" t="str">
        <f>info!D4</f>
        <v>Практ.</v>
      </c>
      <c r="E20" s="13" t="str">
        <f>info!E19</f>
        <v>Каф.</v>
      </c>
      <c r="F20" s="13" t="str">
        <f>info!F4</f>
        <v>Неопределен</v>
      </c>
      <c r="G20" s="14">
        <f>info!G4</f>
        <v>0.58333333333333337</v>
      </c>
      <c r="H20" s="15">
        <f>info!H4</f>
        <v>0.65277777777777779</v>
      </c>
    </row>
    <row r="21" spans="1:8" x14ac:dyDescent="0.3">
      <c r="A21" s="42"/>
      <c r="B21" s="30">
        <v>4</v>
      </c>
      <c r="C21" s="9" t="str">
        <f>info!C10</f>
        <v>Социология и психология</v>
      </c>
      <c r="D21" s="9" t="str">
        <f>info!D4</f>
        <v>Практ.</v>
      </c>
      <c r="E21" s="9" t="str">
        <f>info!E27</f>
        <v>7-325</v>
      </c>
      <c r="F21" s="9" t="str">
        <f>info!F12</f>
        <v>Барышникова Е.И.</v>
      </c>
      <c r="G21" s="10">
        <f>info!G5</f>
        <v>0.66666666666666663</v>
      </c>
      <c r="H21" s="11">
        <f>info!H5</f>
        <v>0.73611111111111116</v>
      </c>
    </row>
    <row r="22" spans="1:8" ht="15" thickBot="1" x14ac:dyDescent="0.35">
      <c r="A22" s="43"/>
      <c r="B22" s="33">
        <v>5</v>
      </c>
      <c r="C22" s="27"/>
      <c r="D22" s="27"/>
      <c r="E22" s="27"/>
      <c r="F22" s="27"/>
      <c r="G22" s="18">
        <f>info!G6</f>
        <v>0.75</v>
      </c>
      <c r="H22" s="19">
        <f>info!H6</f>
        <v>0.81944444444444442</v>
      </c>
    </row>
    <row r="23" spans="1:8" x14ac:dyDescent="0.3">
      <c r="A23" s="41" t="str">
        <f>info!B6</f>
        <v>Пятница</v>
      </c>
      <c r="B23" s="28">
        <v>1</v>
      </c>
      <c r="C23" s="20" t="str">
        <f>info!C4</f>
        <v>Иностранный язык</v>
      </c>
      <c r="D23" s="20" t="str">
        <f>info!D4</f>
        <v>Практ.</v>
      </c>
      <c r="E23" s="20" t="str">
        <f>info!E19</f>
        <v>Каф.</v>
      </c>
      <c r="F23" s="20" t="str">
        <f>info!F13</f>
        <v>Иванова П.О.</v>
      </c>
      <c r="G23" s="21">
        <f>info!G2</f>
        <v>0.39583333333333331</v>
      </c>
      <c r="H23" s="22">
        <f>info!H2</f>
        <v>0.46527777777777779</v>
      </c>
    </row>
    <row r="24" spans="1:8" x14ac:dyDescent="0.3">
      <c r="A24" s="42"/>
      <c r="B24" s="29">
        <v>2</v>
      </c>
      <c r="C24" s="13" t="str">
        <f>info!C11</f>
        <v>Физическая подготовка</v>
      </c>
      <c r="D24" s="13" t="str">
        <f>info!D4</f>
        <v>Практ.</v>
      </c>
      <c r="E24" s="13" t="str">
        <f>info!E19</f>
        <v>Каф.</v>
      </c>
      <c r="F24" s="13" t="str">
        <f>info!F4</f>
        <v>Неопределен</v>
      </c>
      <c r="G24" s="14">
        <f>info!G3</f>
        <v>0.47916666666666669</v>
      </c>
      <c r="H24" s="15">
        <f>info!H3</f>
        <v>0.54861111111111116</v>
      </c>
    </row>
    <row r="25" spans="1:8" x14ac:dyDescent="0.3">
      <c r="A25" s="42"/>
      <c r="B25" s="30">
        <v>3</v>
      </c>
      <c r="C25" s="9" t="str">
        <f>info!C8</f>
        <v>Электротехника и промышленная электроника</v>
      </c>
      <c r="D25" s="9" t="str">
        <f>info!D3</f>
        <v>Лаб.</v>
      </c>
      <c r="E25" s="9" t="str">
        <f>info!E19</f>
        <v>Каф.</v>
      </c>
      <c r="F25" s="9" t="str">
        <f>info!F10</f>
        <v>Тарасова Н.А.</v>
      </c>
      <c r="G25" s="10">
        <f>info!G4</f>
        <v>0.58333333333333337</v>
      </c>
      <c r="H25" s="11">
        <f>info!H4</f>
        <v>0.65277777777777779</v>
      </c>
    </row>
    <row r="26" spans="1:8" x14ac:dyDescent="0.3">
      <c r="A26" s="42"/>
      <c r="B26" s="29">
        <v>4</v>
      </c>
      <c r="C26" s="13" t="str">
        <f>info!C7</f>
        <v>Математика</v>
      </c>
      <c r="D26" s="13" t="str">
        <f>info!D4</f>
        <v>Практ.</v>
      </c>
      <c r="E26" s="13" t="str">
        <f>info!E28</f>
        <v>7-118</v>
      </c>
      <c r="F26" s="13" t="str">
        <f>info!F5</f>
        <v>Винник Т.В.</v>
      </c>
      <c r="G26" s="14">
        <f>info!G5</f>
        <v>0.66666666666666663</v>
      </c>
      <c r="H26" s="15">
        <f>info!H5</f>
        <v>0.73611111111111116</v>
      </c>
    </row>
    <row r="27" spans="1:8" ht="15" thickBot="1" x14ac:dyDescent="0.35">
      <c r="A27" s="43"/>
      <c r="B27" s="31">
        <v>5</v>
      </c>
      <c r="C27" s="26"/>
      <c r="D27" s="26"/>
      <c r="E27" s="26"/>
      <c r="F27" s="26"/>
      <c r="G27" s="24">
        <f>info!G6</f>
        <v>0.75</v>
      </c>
      <c r="H27" s="25">
        <f>info!H6</f>
        <v>0.81944444444444442</v>
      </c>
    </row>
  </sheetData>
  <mergeCells count="6">
    <mergeCell ref="A23:A27"/>
    <mergeCell ref="A1:H1"/>
    <mergeCell ref="A3:A7"/>
    <mergeCell ref="A8:A12"/>
    <mergeCell ref="A13:A17"/>
    <mergeCell ref="A18:A22"/>
  </mergeCells>
  <pageMargins left="0.7" right="0.7" top="0.75" bottom="0.75" header="0.3" footer="0.3"/>
  <pageSetup paperSize="9" scale="9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05B5A-16B5-4CF7-8E3B-1FE6BC180659}">
  <sheetPr>
    <pageSetUpPr fitToPage="1"/>
  </sheetPr>
  <dimension ref="A1:H27"/>
  <sheetViews>
    <sheetView zoomScaleNormal="100" workbookViewId="0">
      <selection activeCell="K8" sqref="K8"/>
    </sheetView>
  </sheetViews>
  <sheetFormatPr defaultRowHeight="14.4" x14ac:dyDescent="0.3"/>
  <cols>
    <col min="1" max="1" width="13.109375" bestFit="1" customWidth="1"/>
    <col min="2" max="2" width="5.21875" bestFit="1" customWidth="1"/>
    <col min="3" max="3" width="62.44140625" bestFit="1" customWidth="1"/>
    <col min="4" max="4" width="11.33203125" bestFit="1" customWidth="1"/>
    <col min="5" max="5" width="15.5546875" bestFit="1" customWidth="1"/>
    <col min="6" max="6" width="17.44140625" bestFit="1" customWidth="1"/>
    <col min="7" max="7" width="7.33203125" bestFit="1" customWidth="1"/>
    <col min="8" max="8" width="6.21875" bestFit="1" customWidth="1"/>
  </cols>
  <sheetData>
    <row r="1" spans="1:8" x14ac:dyDescent="0.3">
      <c r="A1" s="44" t="str">
        <f>info!A2</f>
        <v>Нечётная неделя</v>
      </c>
      <c r="B1" s="45"/>
      <c r="C1" s="45"/>
      <c r="D1" s="45"/>
      <c r="E1" s="45"/>
      <c r="F1" s="45"/>
      <c r="G1" s="45"/>
      <c r="H1" s="46"/>
    </row>
    <row r="2" spans="1:8" ht="15" thickBot="1" x14ac:dyDescent="0.35">
      <c r="A2" s="4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5" t="s">
        <v>6</v>
      </c>
    </row>
    <row r="3" spans="1:8" x14ac:dyDescent="0.3">
      <c r="A3" s="41" t="str">
        <f>info!B2</f>
        <v>Понедельник</v>
      </c>
      <c r="B3" s="34">
        <v>1</v>
      </c>
      <c r="C3" s="20" t="str">
        <f>info!C6</f>
        <v>Органическая химия</v>
      </c>
      <c r="D3" s="20" t="str">
        <f>info!D3</f>
        <v>Лаб.</v>
      </c>
      <c r="E3" s="20" t="str">
        <f>info!E19</f>
        <v>Каф.</v>
      </c>
      <c r="F3" s="20" t="str">
        <f>info!F7</f>
        <v>Питерская Ю.Л.</v>
      </c>
      <c r="G3" s="21">
        <f>info!G2</f>
        <v>0.39583333333333331</v>
      </c>
      <c r="H3" s="22">
        <f>info!H2</f>
        <v>0.46527777777777779</v>
      </c>
    </row>
    <row r="4" spans="1:8" x14ac:dyDescent="0.3">
      <c r="A4" s="42"/>
      <c r="B4" s="35">
        <v>2</v>
      </c>
      <c r="C4" s="13" t="str">
        <f>info!C6</f>
        <v>Органическая химия</v>
      </c>
      <c r="D4" s="13" t="str">
        <f>info!D3</f>
        <v>Лаб.</v>
      </c>
      <c r="E4" s="13" t="str">
        <f>info!E19</f>
        <v>Каф.</v>
      </c>
      <c r="F4" s="13" t="str">
        <f>info!F7</f>
        <v>Питерская Ю.Л.</v>
      </c>
      <c r="G4" s="14">
        <f>info!G3</f>
        <v>0.47916666666666669</v>
      </c>
      <c r="H4" s="15">
        <f>info!H3</f>
        <v>0.54861111111111116</v>
      </c>
    </row>
    <row r="5" spans="1:8" x14ac:dyDescent="0.3">
      <c r="A5" s="42"/>
      <c r="B5" s="36">
        <v>3</v>
      </c>
      <c r="C5" s="9" t="str">
        <f>info!C3</f>
        <v>Философия</v>
      </c>
      <c r="D5" s="9" t="str">
        <f>info!D4</f>
        <v>Практ.</v>
      </c>
      <c r="E5" s="9">
        <f>info!E20</f>
        <v>357</v>
      </c>
      <c r="F5" s="9" t="str">
        <f>info!F3</f>
        <v>Быданов В.Е.</v>
      </c>
      <c r="G5" s="10">
        <f>info!G4</f>
        <v>0.58333333333333337</v>
      </c>
      <c r="H5" s="11">
        <f>info!H4</f>
        <v>0.65277777777777779</v>
      </c>
    </row>
    <row r="6" spans="1:8" x14ac:dyDescent="0.3">
      <c r="A6" s="42"/>
      <c r="B6" s="35">
        <v>4</v>
      </c>
      <c r="C6" s="13"/>
      <c r="D6" s="13"/>
      <c r="E6" s="13"/>
      <c r="F6" s="13"/>
      <c r="G6" s="14">
        <f>info!G5</f>
        <v>0.66666666666666663</v>
      </c>
      <c r="H6" s="15">
        <f>info!H5</f>
        <v>0.73611111111111116</v>
      </c>
    </row>
    <row r="7" spans="1:8" ht="15" thickBot="1" x14ac:dyDescent="0.35">
      <c r="A7" s="43"/>
      <c r="B7" s="37">
        <v>5</v>
      </c>
      <c r="C7" s="26"/>
      <c r="D7" s="26"/>
      <c r="E7" s="26"/>
      <c r="F7" s="26"/>
      <c r="G7" s="24">
        <f>info!G6</f>
        <v>0.75</v>
      </c>
      <c r="H7" s="25">
        <f>info!H6</f>
        <v>0.81944444444444442</v>
      </c>
    </row>
    <row r="8" spans="1:8" x14ac:dyDescent="0.3">
      <c r="A8" s="41" t="str">
        <f>info!B3</f>
        <v>Вторник</v>
      </c>
      <c r="B8" s="38">
        <v>1</v>
      </c>
      <c r="C8" s="6" t="str">
        <f>info!C5</f>
        <v>Основы экономики и менеджмента</v>
      </c>
      <c r="D8" s="6" t="str">
        <f>info!D4</f>
        <v>Практ.</v>
      </c>
      <c r="E8" s="6" t="str">
        <f>info!E29</f>
        <v>7-320</v>
      </c>
      <c r="F8" s="6" t="str">
        <f>info!F6</f>
        <v>Шукаева А.В.</v>
      </c>
      <c r="G8" s="7">
        <f>info!G2</f>
        <v>0.39583333333333331</v>
      </c>
      <c r="H8" s="8">
        <f>info!H2</f>
        <v>0.46527777777777779</v>
      </c>
    </row>
    <row r="9" spans="1:8" x14ac:dyDescent="0.3">
      <c r="A9" s="42"/>
      <c r="B9" s="36">
        <v>2</v>
      </c>
      <c r="C9" s="9" t="str">
        <f>info!C12</f>
        <v>Прикладная механика</v>
      </c>
      <c r="D9" s="9" t="str">
        <f>info!D2</f>
        <v>Лекц.</v>
      </c>
      <c r="E9" s="9" t="str">
        <f>info!E30</f>
        <v>7-413</v>
      </c>
      <c r="F9" s="9" t="str">
        <f>info!F14</f>
        <v>Галуза Л.Н.</v>
      </c>
      <c r="G9" s="10">
        <f>info!G3</f>
        <v>0.47916666666666669</v>
      </c>
      <c r="H9" s="11">
        <f>info!H3</f>
        <v>0.54861111111111116</v>
      </c>
    </row>
    <row r="10" spans="1:8" x14ac:dyDescent="0.3">
      <c r="A10" s="42"/>
      <c r="B10" s="35">
        <v>3</v>
      </c>
      <c r="C10" s="13" t="str">
        <f>info!C6</f>
        <v>Органическая химия</v>
      </c>
      <c r="D10" s="13" t="str">
        <f>info!D4</f>
        <v>Практ.</v>
      </c>
      <c r="E10" s="13" t="str">
        <f>info!E19</f>
        <v>Каф.</v>
      </c>
      <c r="F10" s="13" t="str">
        <f>info!F7</f>
        <v>Питерская Ю.Л.</v>
      </c>
      <c r="G10" s="14">
        <f>info!G4</f>
        <v>0.58333333333333337</v>
      </c>
      <c r="H10" s="15">
        <f>info!H4</f>
        <v>0.65277777777777779</v>
      </c>
    </row>
    <row r="11" spans="1:8" x14ac:dyDescent="0.3">
      <c r="A11" s="42"/>
      <c r="B11" s="36">
        <v>4</v>
      </c>
      <c r="C11" s="9" t="str">
        <f>info!C5</f>
        <v>Основы экономики и менеджмента</v>
      </c>
      <c r="D11" s="9" t="str">
        <f>info!D2</f>
        <v>Лекц.</v>
      </c>
      <c r="E11" s="9">
        <f>info!E22</f>
        <v>215</v>
      </c>
      <c r="F11" s="9" t="str">
        <f>info!F9</f>
        <v>Козляева Е.В.</v>
      </c>
      <c r="G11" s="10">
        <f>info!G5</f>
        <v>0.66666666666666663</v>
      </c>
      <c r="H11" s="11">
        <f>info!H5</f>
        <v>0.73611111111111116</v>
      </c>
    </row>
    <row r="12" spans="1:8" ht="15" thickBot="1" x14ac:dyDescent="0.35">
      <c r="A12" s="43"/>
      <c r="B12" s="39">
        <v>5</v>
      </c>
      <c r="C12" s="27"/>
      <c r="D12" s="27"/>
      <c r="E12" s="27"/>
      <c r="F12" s="27"/>
      <c r="G12" s="18">
        <f>info!G6</f>
        <v>0.75</v>
      </c>
      <c r="H12" s="19">
        <f>info!H6</f>
        <v>0.81944444444444442</v>
      </c>
    </row>
    <row r="13" spans="1:8" x14ac:dyDescent="0.3">
      <c r="A13" s="41" t="str">
        <f>info!B4</f>
        <v>Среда</v>
      </c>
      <c r="B13" s="34">
        <v>1</v>
      </c>
      <c r="C13" s="20" t="str">
        <f>info!C10</f>
        <v>Социология и психология</v>
      </c>
      <c r="D13" s="20" t="str">
        <f>info!D2</f>
        <v>Лекц.</v>
      </c>
      <c r="E13" s="20">
        <f>info!E31</f>
        <v>201</v>
      </c>
      <c r="F13" s="20" t="str">
        <f>info!F15</f>
        <v>Васина О.В.</v>
      </c>
      <c r="G13" s="21">
        <f>info!G2</f>
        <v>0.39583333333333331</v>
      </c>
      <c r="H13" s="22">
        <f>info!H2</f>
        <v>0.46527777777777779</v>
      </c>
    </row>
    <row r="14" spans="1:8" x14ac:dyDescent="0.3">
      <c r="A14" s="42"/>
      <c r="B14" s="35">
        <v>2</v>
      </c>
      <c r="C14" s="13" t="str">
        <f>info!C11</f>
        <v>Физическая подготовка</v>
      </c>
      <c r="D14" s="13" t="str">
        <f>info!D4</f>
        <v>Практ.</v>
      </c>
      <c r="E14" s="13" t="str">
        <f>info!E19</f>
        <v>Каф.</v>
      </c>
      <c r="F14" s="13" t="str">
        <f>info!F4</f>
        <v>Неопределен</v>
      </c>
      <c r="G14" s="14">
        <f>info!G3</f>
        <v>0.47916666666666669</v>
      </c>
      <c r="H14" s="15">
        <f>info!H3</f>
        <v>0.54861111111111116</v>
      </c>
    </row>
    <row r="15" spans="1:8" x14ac:dyDescent="0.3">
      <c r="A15" s="42"/>
      <c r="B15" s="36">
        <v>3</v>
      </c>
      <c r="C15" s="9" t="str">
        <f>info!C6</f>
        <v>Органическая химия</v>
      </c>
      <c r="D15" s="9" t="str">
        <f>info!D2</f>
        <v>Лекц.</v>
      </c>
      <c r="E15" s="9" t="str">
        <f>info!E25</f>
        <v>БХА</v>
      </c>
      <c r="F15" s="9" t="str">
        <f>info!F7</f>
        <v>Питерская Ю.Л.</v>
      </c>
      <c r="G15" s="10">
        <f>info!G4</f>
        <v>0.58333333333333337</v>
      </c>
      <c r="H15" s="11">
        <f>info!H4</f>
        <v>0.65277777777777779</v>
      </c>
    </row>
    <row r="16" spans="1:8" x14ac:dyDescent="0.3">
      <c r="A16" s="42"/>
      <c r="B16" s="35">
        <v>4</v>
      </c>
      <c r="C16" s="13"/>
      <c r="D16" s="13"/>
      <c r="E16" s="13"/>
      <c r="F16" s="13"/>
      <c r="G16" s="14">
        <f>info!G5</f>
        <v>0.66666666666666663</v>
      </c>
      <c r="H16" s="15">
        <f>info!H5</f>
        <v>0.73611111111111116</v>
      </c>
    </row>
    <row r="17" spans="1:8" ht="15" thickBot="1" x14ac:dyDescent="0.35">
      <c r="A17" s="43"/>
      <c r="B17" s="37">
        <v>5</v>
      </c>
      <c r="C17" s="26"/>
      <c r="D17" s="26"/>
      <c r="E17" s="26"/>
      <c r="F17" s="26"/>
      <c r="G17" s="24">
        <f>info!G6</f>
        <v>0.75</v>
      </c>
      <c r="H17" s="25">
        <f>info!H6</f>
        <v>0.81944444444444442</v>
      </c>
    </row>
    <row r="18" spans="1:8" x14ac:dyDescent="0.3">
      <c r="A18" s="41" t="str">
        <f>info!B5</f>
        <v>Четверг</v>
      </c>
      <c r="B18" s="38">
        <v>1</v>
      </c>
      <c r="C18" s="6" t="str">
        <f>info!C9</f>
        <v>Материаловедение</v>
      </c>
      <c r="D18" s="6" t="str">
        <f>info!D2</f>
        <v>Лекц.</v>
      </c>
      <c r="E18" s="6">
        <f>info!E32</f>
        <v>301</v>
      </c>
      <c r="F18" s="6" t="str">
        <f>info!F16</f>
        <v>Зеленина Е.В.</v>
      </c>
      <c r="G18" s="7">
        <f>info!G2</f>
        <v>0.39583333333333331</v>
      </c>
      <c r="H18" s="8">
        <f>info!H2</f>
        <v>0.46527777777777779</v>
      </c>
    </row>
    <row r="19" spans="1:8" x14ac:dyDescent="0.3">
      <c r="A19" s="42"/>
      <c r="B19" s="36">
        <v>2</v>
      </c>
      <c r="C19" s="9" t="str">
        <f>info!C9</f>
        <v>Материаловедение</v>
      </c>
      <c r="D19" s="9" t="str">
        <f>info!D3</f>
        <v>Лаб.</v>
      </c>
      <c r="E19" s="9" t="str">
        <f>info!E19</f>
        <v>Каф.</v>
      </c>
      <c r="F19" s="9" t="str">
        <f>info!F11</f>
        <v>Сычев М.М.</v>
      </c>
      <c r="G19" s="10">
        <f>info!G3</f>
        <v>0.47916666666666669</v>
      </c>
      <c r="H19" s="11">
        <f>info!H3</f>
        <v>0.54861111111111116</v>
      </c>
    </row>
    <row r="20" spans="1:8" x14ac:dyDescent="0.3">
      <c r="A20" s="42"/>
      <c r="B20" s="35">
        <v>3</v>
      </c>
      <c r="C20" s="13" t="str">
        <f>info!C12</f>
        <v>Прикладная механика</v>
      </c>
      <c r="D20" s="13" t="str">
        <f>info!D4</f>
        <v>Практ.</v>
      </c>
      <c r="E20" s="13" t="str">
        <f>info!E19</f>
        <v>Каф.</v>
      </c>
      <c r="F20" s="13" t="str">
        <f>info!F17</f>
        <v>Погребная Л.И.</v>
      </c>
      <c r="G20" s="14">
        <f>info!G4</f>
        <v>0.58333333333333337</v>
      </c>
      <c r="H20" s="15">
        <f>info!H4</f>
        <v>0.65277777777777779</v>
      </c>
    </row>
    <row r="21" spans="1:8" x14ac:dyDescent="0.3">
      <c r="A21" s="42"/>
      <c r="B21" s="36">
        <v>4</v>
      </c>
      <c r="C21" s="9" t="str">
        <f>info!C10</f>
        <v>Социология и психология</v>
      </c>
      <c r="D21" s="9" t="str">
        <f>info!D4</f>
        <v>Практ.</v>
      </c>
      <c r="E21" s="9" t="str">
        <f>info!E27</f>
        <v>7-325</v>
      </c>
      <c r="F21" s="9" t="str">
        <f>info!F12</f>
        <v>Барышникова Е.И.</v>
      </c>
      <c r="G21" s="10">
        <f>info!G5</f>
        <v>0.66666666666666663</v>
      </c>
      <c r="H21" s="11">
        <f>info!H5</f>
        <v>0.73611111111111116</v>
      </c>
    </row>
    <row r="22" spans="1:8" ht="15" thickBot="1" x14ac:dyDescent="0.35">
      <c r="A22" s="43"/>
      <c r="B22" s="39">
        <v>5</v>
      </c>
      <c r="C22" s="27"/>
      <c r="D22" s="27"/>
      <c r="E22" s="27"/>
      <c r="F22" s="27"/>
      <c r="G22" s="18">
        <f>info!G6</f>
        <v>0.75</v>
      </c>
      <c r="H22" s="19">
        <f>info!H6</f>
        <v>0.81944444444444442</v>
      </c>
    </row>
    <row r="23" spans="1:8" x14ac:dyDescent="0.3">
      <c r="A23" s="41" t="str">
        <f>info!B6</f>
        <v>Пятница</v>
      </c>
      <c r="B23" s="34">
        <v>1</v>
      </c>
      <c r="C23" s="20" t="str">
        <f>info!C4</f>
        <v>Иностранный язык</v>
      </c>
      <c r="D23" s="20" t="str">
        <f>info!D4</f>
        <v>Практ.</v>
      </c>
      <c r="E23" s="20" t="str">
        <f>info!E19</f>
        <v>Каф.</v>
      </c>
      <c r="F23" s="20" t="str">
        <f>info!F13</f>
        <v>Иванова П.О.</v>
      </c>
      <c r="G23" s="21">
        <f>info!G2</f>
        <v>0.39583333333333331</v>
      </c>
      <c r="H23" s="22">
        <f>info!H2</f>
        <v>0.46527777777777779</v>
      </c>
    </row>
    <row r="24" spans="1:8" x14ac:dyDescent="0.3">
      <c r="A24" s="42"/>
      <c r="B24" s="35">
        <v>2</v>
      </c>
      <c r="C24" s="13" t="str">
        <f>info!C2</f>
        <v>Введение в химическую технологию и основы научных исследований</v>
      </c>
      <c r="D24" s="13" t="str">
        <f>info!D2</f>
        <v>Лекц.</v>
      </c>
      <c r="E24" s="13">
        <f>info!E34</f>
        <v>306</v>
      </c>
      <c r="F24" s="13" t="str">
        <f>info!F2</f>
        <v>Захарова Н. В.</v>
      </c>
      <c r="G24" s="14">
        <f>info!G3</f>
        <v>0.47916666666666669</v>
      </c>
      <c r="H24" s="15">
        <f>info!H3</f>
        <v>0.54861111111111116</v>
      </c>
    </row>
    <row r="25" spans="1:8" x14ac:dyDescent="0.3">
      <c r="A25" s="42"/>
      <c r="B25" s="36">
        <v>3</v>
      </c>
      <c r="C25" s="9" t="str">
        <f>info!C8</f>
        <v>Электротехника и промышленная электроника</v>
      </c>
      <c r="D25" s="9" t="str">
        <f>info!D3</f>
        <v>Лаб.</v>
      </c>
      <c r="E25" s="9" t="str">
        <f>info!E19</f>
        <v>Каф.</v>
      </c>
      <c r="F25" s="9" t="str">
        <f>info!F10</f>
        <v>Тарасова Н.А.</v>
      </c>
      <c r="G25" s="10">
        <f>info!G4</f>
        <v>0.58333333333333337</v>
      </c>
      <c r="H25" s="11">
        <f>info!H4</f>
        <v>0.65277777777777779</v>
      </c>
    </row>
    <row r="26" spans="1:8" x14ac:dyDescent="0.3">
      <c r="A26" s="42"/>
      <c r="B26" s="35">
        <v>4</v>
      </c>
      <c r="C26" s="13" t="str">
        <f>info!C7</f>
        <v>Математика</v>
      </c>
      <c r="D26" s="13" t="str">
        <f>info!D4</f>
        <v>Практ.</v>
      </c>
      <c r="E26" s="13" t="str">
        <f>info!E28</f>
        <v>7-118</v>
      </c>
      <c r="F26" s="13" t="str">
        <f>info!F5</f>
        <v>Винник Т.В.</v>
      </c>
      <c r="G26" s="14">
        <f>info!G5</f>
        <v>0.66666666666666663</v>
      </c>
      <c r="H26" s="15">
        <f>info!H5</f>
        <v>0.73611111111111116</v>
      </c>
    </row>
    <row r="27" spans="1:8" ht="15" thickBot="1" x14ac:dyDescent="0.35">
      <c r="A27" s="43"/>
      <c r="B27" s="37">
        <v>5</v>
      </c>
      <c r="C27" s="26"/>
      <c r="D27" s="26"/>
      <c r="E27" s="26"/>
      <c r="F27" s="26"/>
      <c r="G27" s="24">
        <f>info!G6</f>
        <v>0.75</v>
      </c>
      <c r="H27" s="25">
        <f>info!H6</f>
        <v>0.81944444444444442</v>
      </c>
    </row>
  </sheetData>
  <mergeCells count="6">
    <mergeCell ref="A23:A27"/>
    <mergeCell ref="A1:H1"/>
    <mergeCell ref="A3:A7"/>
    <mergeCell ref="A8:A12"/>
    <mergeCell ref="A13:A17"/>
    <mergeCell ref="A18:A22"/>
  </mergeCells>
  <pageMargins left="0.7" right="0.7" top="0.75" bottom="0.75" header="0.3" footer="0.3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info</vt:lpstr>
      <vt:lpstr>template-even</vt:lpstr>
      <vt:lpstr>template-odd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2026-09-07T14:52:09Z</dcterms:modified>
</cp:coreProperties>
</file>